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  <sheet state="visible" name="Overview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<sst xmlns="http://schemas.openxmlformats.org/spreadsheetml/2006/main" count="1345" uniqueCount="141">
  <si>
    <t>Task ID</t>
  </si>
  <si>
    <t>Date</t>
  </si>
  <si>
    <t>Section</t>
  </si>
  <si>
    <t>Task / Description</t>
  </si>
  <si>
    <t>Cost</t>
  </si>
  <si>
    <t>Money In</t>
  </si>
  <si>
    <t>Money In Method</t>
  </si>
  <si>
    <t>Vendor / Contractor</t>
  </si>
  <si>
    <t>Payment Method</t>
  </si>
  <si>
    <t>Status</t>
  </si>
  <si>
    <t>Cost Type</t>
  </si>
  <si>
    <t>Planned Start Date</t>
  </si>
  <si>
    <t>Planned End Date</t>
  </si>
  <si>
    <t>Actual End Date</t>
  </si>
  <si>
    <t>Notes</t>
  </si>
  <si>
    <t>19/8/2025</t>
  </si>
  <si>
    <t>Site preparation</t>
  </si>
  <si>
    <t>amakamba</t>
  </si>
  <si>
    <t>Cash</t>
  </si>
  <si>
    <t>Completed</t>
  </si>
  <si>
    <t>Material</t>
  </si>
  <si>
    <t>imisumari</t>
  </si>
  <si>
    <t>Security</t>
  </si>
  <si>
    <t>umuzamu</t>
  </si>
  <si>
    <t>Manpower</t>
  </si>
  <si>
    <t>Transport</t>
  </si>
  <si>
    <t>ticket</t>
  </si>
  <si>
    <t>abayedi</t>
  </si>
  <si>
    <t>abafundi</t>
  </si>
  <si>
    <t>20/8/2025</t>
  </si>
  <si>
    <t>money</t>
  </si>
  <si>
    <t>amafaranga</t>
  </si>
  <si>
    <t>Mobile Money</t>
  </si>
  <si>
    <t>cash in</t>
  </si>
  <si>
    <t>kubikuza</t>
  </si>
  <si>
    <t>cash out</t>
  </si>
  <si>
    <t>21/8/2025</t>
  </si>
  <si>
    <t>22/8/2025</t>
  </si>
  <si>
    <t>ingorofani</t>
  </si>
  <si>
    <t>Repairing</t>
  </si>
  <si>
    <t>ticket y'ingorofani</t>
  </si>
  <si>
    <t>22/8/205</t>
  </si>
  <si>
    <t>umunyururu</t>
  </si>
  <si>
    <t>ingufuri</t>
  </si>
  <si>
    <t>umufundi</t>
  </si>
  <si>
    <t>gupatana umucyingo</t>
  </si>
  <si>
    <t>23/8/2025</t>
  </si>
  <si>
    <t>imbaho</t>
  </si>
  <si>
    <t>24/8/2025</t>
  </si>
  <si>
    <t>26/8/2025</t>
  </si>
  <si>
    <t>ikayii</t>
  </si>
  <si>
    <t>26/2025</t>
  </si>
  <si>
    <t>28/8/2025</t>
  </si>
  <si>
    <t>gupatana toilet</t>
  </si>
  <si>
    <t>gupakurura</t>
  </si>
  <si>
    <t>umuyedi</t>
  </si>
  <si>
    <t>29/8/2025</t>
  </si>
  <si>
    <t>Foundation</t>
  </si>
  <si>
    <t>disk</t>
  </si>
  <si>
    <t>abaferayeri</t>
  </si>
  <si>
    <t>Electrical</t>
  </si>
  <si>
    <t>umuriro</t>
  </si>
  <si>
    <t>Gasore ticket</t>
  </si>
  <si>
    <t>26/10/2025</t>
  </si>
  <si>
    <t>Bank Transfer</t>
  </si>
  <si>
    <t>shitingi</t>
  </si>
  <si>
    <t>Structure / Walls</t>
  </si>
  <si>
    <t>ibyuma</t>
  </si>
  <si>
    <t>26/10/205</t>
  </si>
  <si>
    <t>gasore money</t>
  </si>
  <si>
    <t>supervisor</t>
  </si>
  <si>
    <t>28/10/2025</t>
  </si>
  <si>
    <t>fille</t>
  </si>
  <si>
    <t>amabati</t>
  </si>
  <si>
    <t>itoroshi</t>
  </si>
  <si>
    <t>umukozi</t>
  </si>
  <si>
    <t>abasharpantier</t>
  </si>
  <si>
    <t>ticket imbaho</t>
  </si>
  <si>
    <t xml:space="preserve">filla pra </t>
  </si>
  <si>
    <t>gupakurura cement</t>
  </si>
  <si>
    <t>13/12/2025</t>
  </si>
  <si>
    <t>gukodesha vibrator</t>
  </si>
  <si>
    <t>16/12/2025</t>
  </si>
  <si>
    <t>vidange</t>
  </si>
  <si>
    <t>17/12/2025</t>
  </si>
  <si>
    <t>gukodesha sottezze</t>
  </si>
  <si>
    <t>petroleum</t>
  </si>
  <si>
    <t>gukoresha imachine</t>
  </si>
  <si>
    <t>18/12/2025</t>
  </si>
  <si>
    <t>19/12/2025</t>
  </si>
  <si>
    <t>socket imachine</t>
  </si>
  <si>
    <t>isolante</t>
  </si>
  <si>
    <t>ticket ibyuma</t>
  </si>
  <si>
    <t>19/12/225</t>
  </si>
  <si>
    <t>19/12/25</t>
  </si>
  <si>
    <t>22/12/2025</t>
  </si>
  <si>
    <t>23/12/2025</t>
  </si>
  <si>
    <t>ishashi</t>
  </si>
  <si>
    <t>24/12/2025</t>
  </si>
  <si>
    <t>gutaba munzu</t>
  </si>
  <si>
    <t>udusumari duto</t>
  </si>
  <si>
    <t>ibyuma(8)</t>
  </si>
  <si>
    <t>ibyuma(14)</t>
  </si>
  <si>
    <t>muhuza umuriro</t>
  </si>
  <si>
    <t>25/12/2025</t>
  </si>
  <si>
    <t>29/12/2025</t>
  </si>
  <si>
    <t>30/12/2025</t>
  </si>
  <si>
    <t>31/12/2025</t>
  </si>
  <si>
    <t>ticket bugesera</t>
  </si>
  <si>
    <t>disck</t>
  </si>
  <si>
    <t>umuhoro</t>
  </si>
  <si>
    <t>transport imbaho</t>
  </si>
  <si>
    <t>imisumari(10)</t>
  </si>
  <si>
    <t>injerekani</t>
  </si>
  <si>
    <t>13/01/2026</t>
  </si>
  <si>
    <t>gupakurura woold</t>
  </si>
  <si>
    <t>transport woold</t>
  </si>
  <si>
    <t>gravel</t>
  </si>
  <si>
    <t>14/01/2026</t>
  </si>
  <si>
    <t>umusharpantier</t>
  </si>
  <si>
    <t>15/01/2026</t>
  </si>
  <si>
    <t>kumena dalle</t>
  </si>
  <si>
    <t>umuferayeri</t>
  </si>
  <si>
    <t>transport</t>
  </si>
  <si>
    <t>0</t>
  </si>
  <si>
    <t>withdrwal</t>
  </si>
  <si>
    <t>PaymentMethod</t>
  </si>
  <si>
    <t>CostType</t>
  </si>
  <si>
    <t>Not Started</t>
  </si>
  <si>
    <t>Land &amp; Permits</t>
  </si>
  <si>
    <t>In Progress</t>
  </si>
  <si>
    <t>Other</t>
  </si>
  <si>
    <t>Cheque</t>
  </si>
  <si>
    <t>Delayed</t>
  </si>
  <si>
    <t>Roofing</t>
  </si>
  <si>
    <t>Doors &amp; Windows</t>
  </si>
  <si>
    <t>Plumbing</t>
  </si>
  <si>
    <t>Finishes (Interior)</t>
  </si>
  <si>
    <t>Finishes (Exterior)</t>
  </si>
  <si>
    <t>Landscaping</t>
  </si>
  <si>
    <t>Contingency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</si>
</sst>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vie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view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8" displayName="Table3" name="Table3" id="1">
  <tableColumns count="3">
    <tableColumn name="Section" id="1"/>
    <tableColumn name="Cost" id="2"/>
    <tableColumn name="Status" id="3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E1:F7" displayName="Table2" name="Table2" id="2">
  <tableColumns count="2">
    <tableColumn name="Cost Type" id="1"/>
    <tableColumn name="Cost" id="2"/>
  </tableColumns>
  <tableStyleInfo name="Overview-style 2" showColumnStripes="0" showFirstColumn="1" showLastColumn="1" showRowStripes="1"/>
</table>
</file>

<file path=xl/tables/table3.xml><?xml version="1.0" encoding="utf-8"?>
<table xmlns="http://schemas.openxmlformats.org/spreadsheetml/2006/main" ref="H1:K44" displayName="Table1" name="Table1" id="3">
  <tableColumns count="4">
    <tableColumn name="Date" id="1"/>
    <tableColumn name="Money In" id="2"/>
    <tableColumn name="Cost" id="3"/>
    <tableColumn name="0" id="4"/>
  </tableColumns>
  <tableStyleInfo name="Overview-style 3" showColumnStripes="0" showFirstColumn="1" showLastColumn="1" showRowStripes="1"/>
</table>
</file>

<file path=xl/tables/table4.xml><?xml version="1.0" encoding="utf-8"?>
<table xmlns="http://schemas.openxmlformats.org/spreadsheetml/2006/main" ref="A1:D18" displayName="Table4" name="Table4" id="4">
  <tableColumns count="4">
    <tableColumn name="Section" id="1"/>
    <tableColumn name="PaymentMethod" id="2"/>
    <tableColumn name="Status" id="3"/>
    <tableColumn name="CostType" id="4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18.0"/>
    <col customWidth="1" min="4" max="4" width="30.0"/>
    <col customWidth="1" min="5" max="5" width="14.0"/>
    <col customWidth="1" min="6" max="6" width="22.0"/>
    <col customWidth="1" min="7" max="7" width="16.0"/>
    <col customWidth="1" min="8" max="8" width="12.0"/>
    <col customWidth="1" min="9" max="9" width="14.0"/>
    <col customWidth="1" min="10" max="12" width="16.0"/>
    <col customWidth="1" min="13" max="13" width="30.0"/>
    <col customWidth="1" min="14" max="26" width="9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3.5" customHeight="1">
      <c r="A2" s="1">
        <v>1.0</v>
      </c>
      <c r="B2" s="2" t="s">
        <v>15</v>
      </c>
      <c r="C2" s="3" t="s">
        <v>16</v>
      </c>
      <c r="D2" s="3" t="s">
        <v>17</v>
      </c>
      <c r="E2" s="3">
        <v>1200.0</v>
      </c>
      <c r="G2" s="3" t="s">
        <v>18</v>
      </c>
      <c r="H2" s="4"/>
      <c r="I2" s="1"/>
      <c r="J2" s="3" t="s">
        <v>19</v>
      </c>
      <c r="K2" s="3" t="s">
        <v>20</v>
      </c>
      <c r="L2" s="4"/>
      <c r="M2" s="4"/>
    </row>
    <row r="3" ht="13.5" customHeight="1">
      <c r="A3" s="1">
        <v>2.0</v>
      </c>
      <c r="B3" s="2" t="s">
        <v>15</v>
      </c>
      <c r="C3" s="3" t="s">
        <v>16</v>
      </c>
      <c r="D3" s="3" t="s">
        <v>21</v>
      </c>
      <c r="E3" s="3">
        <v>3000.0</v>
      </c>
      <c r="G3" s="3" t="s">
        <v>18</v>
      </c>
      <c r="H3" s="4"/>
      <c r="I3" s="1"/>
      <c r="J3" s="3" t="s">
        <v>19</v>
      </c>
      <c r="K3" s="3" t="s">
        <v>20</v>
      </c>
      <c r="L3" s="4"/>
      <c r="M3" s="4"/>
    </row>
    <row r="4" ht="13.5" customHeight="1">
      <c r="A4" s="1">
        <v>3.0</v>
      </c>
      <c r="B4" s="2" t="s">
        <v>15</v>
      </c>
      <c r="C4" s="3" t="s">
        <v>22</v>
      </c>
      <c r="D4" s="3" t="s">
        <v>23</v>
      </c>
      <c r="E4" s="3">
        <v>2000.0</v>
      </c>
      <c r="G4" s="3" t="s">
        <v>18</v>
      </c>
      <c r="H4" s="4"/>
      <c r="I4" s="1"/>
      <c r="J4" s="3" t="s">
        <v>19</v>
      </c>
      <c r="K4" s="3" t="s">
        <v>24</v>
      </c>
      <c r="L4" s="4"/>
      <c r="M4" s="4"/>
    </row>
    <row r="5" ht="13.5" customHeight="1">
      <c r="A5" s="1">
        <v>4.0</v>
      </c>
      <c r="B5" s="2" t="s">
        <v>15</v>
      </c>
      <c r="C5" s="3" t="s">
        <v>25</v>
      </c>
      <c r="D5" s="3" t="s">
        <v>26</v>
      </c>
      <c r="E5" s="3">
        <v>500.0</v>
      </c>
      <c r="G5" s="3" t="s">
        <v>18</v>
      </c>
      <c r="H5" s="4"/>
      <c r="I5" s="1"/>
      <c r="J5" s="3" t="s">
        <v>19</v>
      </c>
      <c r="K5" s="3" t="s">
        <v>20</v>
      </c>
      <c r="L5" s="4"/>
      <c r="M5" s="4"/>
    </row>
    <row r="6" ht="13.5" customHeight="1">
      <c r="A6" s="1">
        <v>5.0</v>
      </c>
      <c r="B6" s="2" t="s">
        <v>15</v>
      </c>
      <c r="C6" s="3" t="s">
        <v>16</v>
      </c>
      <c r="D6" s="3" t="s">
        <v>27</v>
      </c>
      <c r="E6" s="3">
        <v>8000.0</v>
      </c>
      <c r="G6" s="3" t="s">
        <v>18</v>
      </c>
      <c r="H6" s="4"/>
      <c r="I6" s="1"/>
      <c r="J6" s="3" t="s">
        <v>19</v>
      </c>
      <c r="K6" s="3" t="s">
        <v>24</v>
      </c>
      <c r="L6" s="4"/>
      <c r="M6" s="4"/>
    </row>
    <row r="7" ht="13.5" customHeight="1">
      <c r="A7" s="1">
        <v>6.0</v>
      </c>
      <c r="B7" s="2" t="s">
        <v>15</v>
      </c>
      <c r="C7" s="3" t="s">
        <v>16</v>
      </c>
      <c r="D7" s="3" t="s">
        <v>28</v>
      </c>
      <c r="E7" s="3">
        <v>25000.0</v>
      </c>
      <c r="G7" s="3" t="s">
        <v>18</v>
      </c>
      <c r="H7" s="4"/>
      <c r="I7" s="1"/>
      <c r="J7" s="3" t="s">
        <v>19</v>
      </c>
      <c r="K7" s="3" t="s">
        <v>24</v>
      </c>
      <c r="L7" s="4"/>
      <c r="M7" s="4"/>
    </row>
    <row r="8" ht="13.5" customHeight="1">
      <c r="A8" s="1">
        <v>7.0</v>
      </c>
      <c r="B8" s="2" t="s">
        <v>29</v>
      </c>
      <c r="C8" s="3" t="s">
        <v>30</v>
      </c>
      <c r="D8" s="3" t="s">
        <v>31</v>
      </c>
      <c r="F8" s="3">
        <v>100000.0</v>
      </c>
      <c r="G8" s="3" t="s">
        <v>32</v>
      </c>
      <c r="H8" s="4"/>
      <c r="I8" s="1"/>
      <c r="J8" s="3" t="s">
        <v>19</v>
      </c>
      <c r="K8" s="3" t="s">
        <v>33</v>
      </c>
      <c r="L8" s="4"/>
      <c r="M8" s="4"/>
    </row>
    <row r="9" ht="13.5" customHeight="1">
      <c r="A9" s="1">
        <v>8.0</v>
      </c>
      <c r="B9" s="2" t="s">
        <v>29</v>
      </c>
      <c r="C9" s="3" t="s">
        <v>16</v>
      </c>
      <c r="D9" s="3" t="s">
        <v>17</v>
      </c>
      <c r="E9" s="3">
        <v>800.0</v>
      </c>
      <c r="G9" s="3" t="s">
        <v>18</v>
      </c>
      <c r="H9" s="4"/>
      <c r="I9" s="1"/>
      <c r="J9" s="3" t="s">
        <v>19</v>
      </c>
      <c r="K9" s="3" t="s">
        <v>20</v>
      </c>
      <c r="L9" s="4"/>
      <c r="M9" s="4"/>
    </row>
    <row r="10" ht="13.5" customHeight="1">
      <c r="A10" s="1">
        <v>9.0</v>
      </c>
      <c r="B10" s="2" t="s">
        <v>29</v>
      </c>
      <c r="C10" s="3" t="s">
        <v>30</v>
      </c>
      <c r="D10" s="3" t="s">
        <v>34</v>
      </c>
      <c r="E10" s="3">
        <v>1500.0</v>
      </c>
      <c r="G10" s="3" t="s">
        <v>18</v>
      </c>
      <c r="H10" s="4"/>
      <c r="I10" s="1"/>
      <c r="J10" s="3" t="s">
        <v>19</v>
      </c>
      <c r="K10" s="3" t="s">
        <v>35</v>
      </c>
      <c r="L10" s="4"/>
      <c r="M10" s="4"/>
    </row>
    <row r="11" ht="13.5" customHeight="1">
      <c r="A11" s="1">
        <v>10.0</v>
      </c>
      <c r="B11" s="2" t="s">
        <v>29</v>
      </c>
      <c r="C11" s="3" t="s">
        <v>16</v>
      </c>
      <c r="D11" s="3" t="s">
        <v>27</v>
      </c>
      <c r="E11" s="3">
        <v>15000.0</v>
      </c>
      <c r="G11" s="3" t="s">
        <v>18</v>
      </c>
      <c r="H11" s="4"/>
      <c r="I11" s="1"/>
      <c r="J11" s="3" t="s">
        <v>19</v>
      </c>
      <c r="K11" s="3" t="s">
        <v>24</v>
      </c>
      <c r="L11" s="4"/>
      <c r="M11" s="4"/>
    </row>
    <row r="12" ht="13.5" customHeight="1">
      <c r="A12" s="1">
        <v>11.0</v>
      </c>
      <c r="B12" s="2" t="s">
        <v>29</v>
      </c>
      <c r="C12" s="3" t="s">
        <v>16</v>
      </c>
      <c r="D12" s="3" t="s">
        <v>28</v>
      </c>
      <c r="E12" s="3">
        <v>20000.0</v>
      </c>
      <c r="G12" s="3" t="s">
        <v>18</v>
      </c>
      <c r="H12" s="4"/>
      <c r="I12" s="1"/>
      <c r="J12" s="3" t="s">
        <v>19</v>
      </c>
      <c r="K12" s="3" t="s">
        <v>24</v>
      </c>
      <c r="L12" s="4"/>
      <c r="M12" s="4"/>
    </row>
    <row r="13" ht="13.5" customHeight="1">
      <c r="A13" s="1">
        <v>12.0</v>
      </c>
      <c r="B13" s="2" t="s">
        <v>36</v>
      </c>
      <c r="C13" s="3" t="s">
        <v>16</v>
      </c>
      <c r="D13" s="3" t="s">
        <v>28</v>
      </c>
      <c r="E13" s="3">
        <v>15000.0</v>
      </c>
      <c r="G13" s="3" t="s">
        <v>18</v>
      </c>
      <c r="H13" s="4"/>
      <c r="I13" s="1"/>
      <c r="J13" s="3" t="s">
        <v>19</v>
      </c>
      <c r="K13" s="3" t="s">
        <v>24</v>
      </c>
      <c r="L13" s="4"/>
      <c r="M13" s="4"/>
    </row>
    <row r="14" ht="13.5" customHeight="1">
      <c r="A14" s="1">
        <v>13.0</v>
      </c>
      <c r="B14" s="2" t="s">
        <v>36</v>
      </c>
      <c r="C14" s="3" t="s">
        <v>16</v>
      </c>
      <c r="D14" s="3" t="s">
        <v>27</v>
      </c>
      <c r="E14" s="3">
        <v>30000.0</v>
      </c>
      <c r="G14" s="3" t="s">
        <v>18</v>
      </c>
      <c r="H14" s="4"/>
      <c r="I14" s="1"/>
      <c r="J14" s="3" t="s">
        <v>19</v>
      </c>
      <c r="K14" s="3" t="s">
        <v>24</v>
      </c>
      <c r="L14" s="4"/>
      <c r="M14" s="4"/>
    </row>
    <row r="15" ht="13.5" customHeight="1">
      <c r="A15" s="1">
        <v>14.0</v>
      </c>
      <c r="B15" s="2" t="s">
        <v>36</v>
      </c>
      <c r="C15" s="3" t="s">
        <v>30</v>
      </c>
      <c r="D15" s="3" t="s">
        <v>31</v>
      </c>
      <c r="F15" s="3">
        <v>200000.0</v>
      </c>
      <c r="G15" s="3" t="s">
        <v>32</v>
      </c>
      <c r="H15" s="4"/>
      <c r="I15" s="1"/>
      <c r="J15" s="3" t="s">
        <v>19</v>
      </c>
      <c r="K15" s="3" t="s">
        <v>33</v>
      </c>
      <c r="L15" s="4"/>
      <c r="M15" s="4"/>
    </row>
    <row r="16" ht="13.5" customHeight="1">
      <c r="A16" s="1">
        <v>15.0</v>
      </c>
      <c r="B16" s="2" t="s">
        <v>37</v>
      </c>
      <c r="C16" s="3" t="s">
        <v>16</v>
      </c>
      <c r="D16" s="3" t="s">
        <v>38</v>
      </c>
      <c r="E16" s="3">
        <v>9000.0</v>
      </c>
      <c r="G16" s="3" t="s">
        <v>18</v>
      </c>
      <c r="H16" s="4"/>
      <c r="I16" s="1"/>
      <c r="J16" s="3" t="s">
        <v>19</v>
      </c>
      <c r="K16" s="3" t="s">
        <v>39</v>
      </c>
      <c r="L16" s="4"/>
      <c r="M16" s="4"/>
    </row>
    <row r="17" ht="13.5" customHeight="1">
      <c r="A17" s="1">
        <v>16.0</v>
      </c>
      <c r="B17" s="2" t="s">
        <v>37</v>
      </c>
      <c r="C17" s="3" t="s">
        <v>25</v>
      </c>
      <c r="D17" s="3" t="s">
        <v>40</v>
      </c>
      <c r="E17" s="3">
        <v>2000.0</v>
      </c>
      <c r="G17" s="3" t="s">
        <v>18</v>
      </c>
      <c r="H17" s="4"/>
      <c r="I17" s="1"/>
      <c r="J17" s="3" t="s">
        <v>19</v>
      </c>
      <c r="K17" s="3" t="s">
        <v>20</v>
      </c>
      <c r="L17" s="4"/>
      <c r="M17" s="4"/>
    </row>
    <row r="18" ht="13.5" customHeight="1">
      <c r="A18" s="1">
        <v>17.0</v>
      </c>
      <c r="B18" s="2" t="s">
        <v>41</v>
      </c>
      <c r="C18" s="3" t="s">
        <v>16</v>
      </c>
      <c r="D18" s="3" t="s">
        <v>42</v>
      </c>
      <c r="E18" s="3">
        <v>3000.0</v>
      </c>
      <c r="G18" s="3" t="s">
        <v>18</v>
      </c>
      <c r="H18" s="4"/>
      <c r="I18" s="1"/>
      <c r="J18" s="3" t="s">
        <v>19</v>
      </c>
      <c r="K18" s="3" t="s">
        <v>20</v>
      </c>
      <c r="L18" s="4"/>
      <c r="M18" s="4"/>
    </row>
    <row r="19" ht="13.5" customHeight="1">
      <c r="A19" s="1">
        <v>18.0</v>
      </c>
      <c r="B19" s="2" t="s">
        <v>37</v>
      </c>
      <c r="C19" s="3" t="s">
        <v>16</v>
      </c>
      <c r="D19" s="3" t="s">
        <v>43</v>
      </c>
      <c r="E19" s="3">
        <v>1500.0</v>
      </c>
      <c r="G19" s="3" t="s">
        <v>18</v>
      </c>
      <c r="H19" s="4"/>
      <c r="I19" s="1"/>
      <c r="J19" s="3" t="s">
        <v>19</v>
      </c>
      <c r="K19" s="3" t="s">
        <v>20</v>
      </c>
      <c r="L19" s="4"/>
      <c r="M19" s="4"/>
    </row>
    <row r="20" ht="13.5" customHeight="1">
      <c r="A20" s="1">
        <v>19.0</v>
      </c>
      <c r="B20" s="2" t="s">
        <v>37</v>
      </c>
      <c r="C20" s="3" t="s">
        <v>16</v>
      </c>
      <c r="D20" s="3" t="s">
        <v>34</v>
      </c>
      <c r="E20" s="3">
        <v>2000.0</v>
      </c>
      <c r="G20" s="3" t="s">
        <v>18</v>
      </c>
      <c r="H20" s="4"/>
      <c r="I20" s="1"/>
      <c r="J20" s="3" t="s">
        <v>19</v>
      </c>
      <c r="K20" s="3" t="s">
        <v>35</v>
      </c>
      <c r="L20" s="4"/>
      <c r="M20" s="4"/>
    </row>
    <row r="21" ht="13.5" customHeight="1">
      <c r="A21" s="1">
        <v>20.0</v>
      </c>
      <c r="B21" s="2" t="s">
        <v>37</v>
      </c>
      <c r="C21" s="3" t="s">
        <v>16</v>
      </c>
      <c r="D21" s="3" t="s">
        <v>27</v>
      </c>
      <c r="E21" s="3">
        <v>25000.0</v>
      </c>
      <c r="G21" s="3" t="s">
        <v>18</v>
      </c>
      <c r="H21" s="4"/>
      <c r="I21" s="1"/>
      <c r="J21" s="3" t="s">
        <v>19</v>
      </c>
      <c r="K21" s="3" t="s">
        <v>24</v>
      </c>
      <c r="L21" s="4"/>
      <c r="M21" s="4"/>
    </row>
    <row r="22" ht="13.5" customHeight="1">
      <c r="A22" s="1">
        <v>21.0</v>
      </c>
      <c r="B22" s="2" t="s">
        <v>41</v>
      </c>
      <c r="C22" s="2" t="s">
        <v>16</v>
      </c>
      <c r="D22" s="2" t="s">
        <v>44</v>
      </c>
      <c r="E22" s="2">
        <v>15000.0</v>
      </c>
      <c r="F22" s="4"/>
      <c r="G22" s="2" t="s">
        <v>18</v>
      </c>
      <c r="H22" s="4"/>
      <c r="I22" s="4"/>
      <c r="J22" s="2" t="s">
        <v>19</v>
      </c>
      <c r="K22" s="2" t="s">
        <v>24</v>
      </c>
      <c r="L22" s="4"/>
      <c r="M22" s="4"/>
    </row>
    <row r="23" ht="13.5" customHeight="1">
      <c r="A23" s="1">
        <v>22.0</v>
      </c>
      <c r="B23" s="2" t="s">
        <v>37</v>
      </c>
      <c r="C23" s="2" t="s">
        <v>16</v>
      </c>
      <c r="D23" s="2" t="s">
        <v>45</v>
      </c>
      <c r="E23" s="2">
        <v>150000.0</v>
      </c>
      <c r="F23" s="2">
        <v>150000.0</v>
      </c>
      <c r="G23" s="2" t="s">
        <v>18</v>
      </c>
      <c r="H23" s="4"/>
      <c r="I23" s="4"/>
      <c r="J23" s="2" t="s">
        <v>19</v>
      </c>
      <c r="K23" s="2" t="s">
        <v>24</v>
      </c>
      <c r="L23" s="4"/>
      <c r="M23" s="4"/>
    </row>
    <row r="24" ht="13.5" customHeight="1">
      <c r="A24" s="1">
        <v>23.0</v>
      </c>
      <c r="B24" s="2" t="s">
        <v>46</v>
      </c>
      <c r="C24" s="2" t="s">
        <v>16</v>
      </c>
      <c r="D24" s="2" t="s">
        <v>47</v>
      </c>
      <c r="E24" s="2">
        <v>1000.0</v>
      </c>
      <c r="F24" s="4"/>
      <c r="G24" s="2" t="s">
        <v>18</v>
      </c>
      <c r="H24" s="4"/>
      <c r="I24" s="4"/>
      <c r="J24" s="2" t="s">
        <v>19</v>
      </c>
      <c r="K24" s="2" t="s">
        <v>20</v>
      </c>
      <c r="L24" s="4"/>
      <c r="M24" s="4"/>
    </row>
    <row r="25" ht="13.5" customHeight="1">
      <c r="A25" s="1">
        <v>24.0</v>
      </c>
      <c r="B25" s="2" t="s">
        <v>46</v>
      </c>
      <c r="C25" s="2" t="s">
        <v>30</v>
      </c>
      <c r="D25" s="2" t="s">
        <v>34</v>
      </c>
      <c r="E25" s="2">
        <v>1500.0</v>
      </c>
      <c r="F25" s="4"/>
      <c r="G25" s="2" t="s">
        <v>18</v>
      </c>
      <c r="H25" s="4"/>
      <c r="I25" s="4"/>
      <c r="J25" s="2" t="s">
        <v>19</v>
      </c>
      <c r="K25" s="2" t="s">
        <v>35</v>
      </c>
      <c r="L25" s="4"/>
      <c r="M25" s="4"/>
    </row>
    <row r="26" ht="13.5" customHeight="1">
      <c r="A26" s="1">
        <v>25.0</v>
      </c>
      <c r="B26" s="2" t="s">
        <v>46</v>
      </c>
      <c r="C26" s="2" t="s">
        <v>16</v>
      </c>
      <c r="D26" s="2" t="s">
        <v>27</v>
      </c>
      <c r="E26" s="2">
        <v>35000.0</v>
      </c>
      <c r="F26" s="4"/>
      <c r="G26" s="2" t="s">
        <v>18</v>
      </c>
      <c r="H26" s="4"/>
      <c r="I26" s="4"/>
      <c r="J26" s="2" t="s">
        <v>19</v>
      </c>
      <c r="K26" s="2" t="s">
        <v>24</v>
      </c>
      <c r="L26" s="4"/>
      <c r="M26" s="4"/>
    </row>
    <row r="27" ht="13.5" customHeight="1">
      <c r="A27" s="1">
        <v>26.0</v>
      </c>
      <c r="B27" s="2" t="s">
        <v>46</v>
      </c>
      <c r="C27" s="2" t="s">
        <v>16</v>
      </c>
      <c r="D27" s="2" t="s">
        <v>44</v>
      </c>
      <c r="E27" s="2">
        <v>15000.0</v>
      </c>
      <c r="F27" s="4"/>
      <c r="G27" s="2" t="s">
        <v>18</v>
      </c>
      <c r="H27" s="4"/>
      <c r="I27" s="4"/>
      <c r="J27" s="2" t="s">
        <v>19</v>
      </c>
      <c r="K27" s="2" t="s">
        <v>24</v>
      </c>
      <c r="L27" s="4"/>
      <c r="M27" s="4"/>
    </row>
    <row r="28" ht="13.5" customHeight="1">
      <c r="A28" s="1">
        <v>27.0</v>
      </c>
      <c r="B28" s="2" t="s">
        <v>48</v>
      </c>
      <c r="C28" s="2" t="s">
        <v>16</v>
      </c>
      <c r="D28" s="2" t="s">
        <v>27</v>
      </c>
      <c r="E28" s="2">
        <v>30000.0</v>
      </c>
      <c r="F28" s="4"/>
      <c r="G28" s="2" t="s">
        <v>18</v>
      </c>
      <c r="H28" s="4"/>
      <c r="I28" s="4"/>
      <c r="J28" s="2" t="s">
        <v>19</v>
      </c>
      <c r="K28" s="2" t="s">
        <v>24</v>
      </c>
      <c r="L28" s="4"/>
      <c r="M28" s="4"/>
    </row>
    <row r="29" ht="13.5" customHeight="1">
      <c r="A29" s="1">
        <v>28.0</v>
      </c>
      <c r="B29" s="2" t="s">
        <v>48</v>
      </c>
      <c r="C29" s="2" t="s">
        <v>22</v>
      </c>
      <c r="D29" s="2" t="s">
        <v>23</v>
      </c>
      <c r="E29" s="2">
        <v>3000.0</v>
      </c>
      <c r="F29" s="4"/>
      <c r="G29" s="2" t="s">
        <v>18</v>
      </c>
      <c r="H29" s="4"/>
      <c r="I29" s="4"/>
      <c r="J29" s="2" t="s">
        <v>19</v>
      </c>
      <c r="K29" s="2" t="s">
        <v>24</v>
      </c>
      <c r="L29" s="4"/>
      <c r="M29" s="4"/>
    </row>
    <row r="30" ht="13.5" customHeight="1">
      <c r="A30" s="1">
        <v>29.0</v>
      </c>
      <c r="B30" s="2" t="s">
        <v>49</v>
      </c>
      <c r="C30" s="2" t="s">
        <v>16</v>
      </c>
      <c r="D30" s="2" t="s">
        <v>47</v>
      </c>
      <c r="E30" s="2">
        <v>7600.0</v>
      </c>
      <c r="F30" s="4"/>
      <c r="G30" s="2" t="s">
        <v>18</v>
      </c>
      <c r="H30" s="4"/>
      <c r="I30" s="4"/>
      <c r="J30" s="2" t="s">
        <v>19</v>
      </c>
      <c r="K30" s="2" t="s">
        <v>20</v>
      </c>
      <c r="L30" s="4"/>
      <c r="M30" s="4"/>
    </row>
    <row r="31" ht="13.5" customHeight="1">
      <c r="A31" s="1">
        <v>30.0</v>
      </c>
      <c r="B31" s="2" t="s">
        <v>49</v>
      </c>
      <c r="C31" s="2" t="s">
        <v>16</v>
      </c>
      <c r="D31" s="2" t="s">
        <v>50</v>
      </c>
      <c r="E31" s="2">
        <v>3000.0</v>
      </c>
      <c r="F31" s="4"/>
      <c r="G31" s="2" t="s">
        <v>18</v>
      </c>
      <c r="H31" s="4"/>
      <c r="I31" s="4"/>
      <c r="J31" s="2" t="s">
        <v>19</v>
      </c>
      <c r="K31" s="2" t="s">
        <v>20</v>
      </c>
      <c r="L31" s="4"/>
      <c r="M31" s="4"/>
    </row>
    <row r="32" ht="13.5" customHeight="1">
      <c r="A32" s="1">
        <v>31.0</v>
      </c>
      <c r="B32" s="2" t="s">
        <v>49</v>
      </c>
      <c r="C32" s="2" t="s">
        <v>30</v>
      </c>
      <c r="D32" s="2" t="s">
        <v>34</v>
      </c>
      <c r="E32" s="2">
        <v>1500.0</v>
      </c>
      <c r="F32" s="4"/>
      <c r="G32" s="2" t="s">
        <v>18</v>
      </c>
      <c r="H32" s="4"/>
      <c r="I32" s="4"/>
      <c r="J32" s="2" t="s">
        <v>19</v>
      </c>
      <c r="K32" s="2" t="s">
        <v>35</v>
      </c>
      <c r="L32" s="4"/>
      <c r="M32" s="4"/>
    </row>
    <row r="33" ht="13.5" customHeight="1">
      <c r="A33" s="1">
        <v>32.0</v>
      </c>
      <c r="B33" s="2" t="s">
        <v>49</v>
      </c>
      <c r="C33" s="2" t="s">
        <v>16</v>
      </c>
      <c r="D33" s="2" t="s">
        <v>27</v>
      </c>
      <c r="E33" s="2">
        <v>30000.0</v>
      </c>
      <c r="F33" s="4"/>
      <c r="G33" s="2" t="s">
        <v>18</v>
      </c>
      <c r="H33" s="4"/>
      <c r="I33" s="4"/>
      <c r="J33" s="2" t="s">
        <v>19</v>
      </c>
      <c r="K33" s="2" t="s">
        <v>24</v>
      </c>
      <c r="L33" s="4"/>
      <c r="M33" s="4"/>
    </row>
    <row r="34" ht="13.5" customHeight="1">
      <c r="A34" s="1">
        <v>33.0</v>
      </c>
      <c r="B34" s="2" t="s">
        <v>51</v>
      </c>
      <c r="C34" s="2" t="s">
        <v>30</v>
      </c>
      <c r="D34" s="2" t="s">
        <v>31</v>
      </c>
      <c r="E34" s="2"/>
      <c r="F34" s="2">
        <v>100000.0</v>
      </c>
      <c r="G34" s="2" t="s">
        <v>18</v>
      </c>
      <c r="H34" s="4"/>
      <c r="I34" s="4"/>
      <c r="J34" s="2" t="s">
        <v>19</v>
      </c>
      <c r="K34" s="2" t="s">
        <v>33</v>
      </c>
      <c r="L34" s="4"/>
      <c r="M34" s="4"/>
    </row>
    <row r="35" ht="13.5" customHeight="1">
      <c r="A35" s="1">
        <v>34.0</v>
      </c>
      <c r="B35" s="2" t="s">
        <v>49</v>
      </c>
      <c r="C35" s="2" t="s">
        <v>16</v>
      </c>
      <c r="D35" s="2" t="s">
        <v>44</v>
      </c>
      <c r="E35" s="2">
        <v>15000.0</v>
      </c>
      <c r="F35" s="4"/>
      <c r="G35" s="2" t="s">
        <v>18</v>
      </c>
      <c r="H35" s="4"/>
      <c r="I35" s="4"/>
      <c r="J35" s="2" t="s">
        <v>19</v>
      </c>
      <c r="K35" s="2" t="s">
        <v>24</v>
      </c>
      <c r="L35" s="4"/>
      <c r="M35" s="4"/>
    </row>
    <row r="36" ht="13.5" customHeight="1">
      <c r="A36" s="1">
        <v>35.0</v>
      </c>
      <c r="B36" s="2" t="s">
        <v>52</v>
      </c>
      <c r="C36" s="2" t="s">
        <v>16</v>
      </c>
      <c r="D36" s="2" t="s">
        <v>31</v>
      </c>
      <c r="E36" s="2"/>
      <c r="F36" s="2">
        <v>150000.0</v>
      </c>
      <c r="G36" s="2" t="s">
        <v>18</v>
      </c>
      <c r="H36" s="4"/>
      <c r="I36" s="4"/>
      <c r="J36" s="2" t="s">
        <v>19</v>
      </c>
      <c r="K36" s="2" t="s">
        <v>33</v>
      </c>
      <c r="L36" s="4"/>
      <c r="M36" s="4"/>
    </row>
    <row r="37" ht="13.5" customHeight="1">
      <c r="A37" s="1">
        <v>36.0</v>
      </c>
      <c r="B37" s="2" t="s">
        <v>52</v>
      </c>
      <c r="C37" s="2" t="s">
        <v>16</v>
      </c>
      <c r="D37" s="2" t="s">
        <v>53</v>
      </c>
      <c r="E37" s="2">
        <v>22200.0</v>
      </c>
      <c r="F37" s="4"/>
      <c r="G37" s="2" t="s">
        <v>18</v>
      </c>
      <c r="H37" s="4"/>
      <c r="I37" s="4"/>
      <c r="J37" s="2" t="s">
        <v>19</v>
      </c>
      <c r="K37" s="2" t="s">
        <v>24</v>
      </c>
      <c r="L37" s="4"/>
      <c r="M37" s="4"/>
    </row>
    <row r="38" ht="13.5" customHeight="1">
      <c r="A38" s="1">
        <v>37.0</v>
      </c>
      <c r="B38" s="2" t="s">
        <v>52</v>
      </c>
      <c r="C38" s="2" t="s">
        <v>16</v>
      </c>
      <c r="D38" s="2" t="s">
        <v>54</v>
      </c>
      <c r="E38" s="2">
        <v>6000.0</v>
      </c>
      <c r="F38" s="4"/>
      <c r="G38" s="2" t="s">
        <v>18</v>
      </c>
      <c r="H38" s="4"/>
      <c r="I38" s="4"/>
      <c r="J38" s="2" t="s">
        <v>19</v>
      </c>
      <c r="K38" s="2" t="s">
        <v>24</v>
      </c>
      <c r="L38" s="4"/>
      <c r="M38" s="4"/>
    </row>
    <row r="39" ht="13.5" customHeight="1">
      <c r="A39" s="1">
        <v>38.0</v>
      </c>
      <c r="B39" s="2" t="s">
        <v>52</v>
      </c>
      <c r="C39" s="2" t="s">
        <v>16</v>
      </c>
      <c r="D39" s="2" t="s">
        <v>23</v>
      </c>
      <c r="E39" s="2">
        <v>3000.0</v>
      </c>
      <c r="F39" s="4"/>
      <c r="G39" s="2" t="s">
        <v>18</v>
      </c>
      <c r="H39" s="4"/>
      <c r="I39" s="4"/>
      <c r="J39" s="2" t="s">
        <v>19</v>
      </c>
      <c r="K39" s="2" t="s">
        <v>24</v>
      </c>
      <c r="L39" s="4"/>
      <c r="M39" s="4"/>
    </row>
    <row r="40" ht="13.5" customHeight="1">
      <c r="A40" s="1">
        <v>39.0</v>
      </c>
      <c r="B40" s="2" t="s">
        <v>52</v>
      </c>
      <c r="C40" s="2" t="s">
        <v>16</v>
      </c>
      <c r="D40" s="2" t="s">
        <v>55</v>
      </c>
      <c r="E40" s="2">
        <v>5000.0</v>
      </c>
      <c r="F40" s="4"/>
      <c r="G40" s="2" t="s">
        <v>18</v>
      </c>
      <c r="H40" s="4"/>
      <c r="I40" s="4"/>
      <c r="J40" s="2" t="s">
        <v>19</v>
      </c>
      <c r="K40" s="2" t="s">
        <v>24</v>
      </c>
      <c r="L40" s="4"/>
      <c r="M40" s="4"/>
    </row>
    <row r="41" ht="13.5" customHeight="1">
      <c r="A41" s="1">
        <v>40.0</v>
      </c>
      <c r="B41" s="2" t="s">
        <v>52</v>
      </c>
      <c r="C41" s="2" t="s">
        <v>30</v>
      </c>
      <c r="D41" s="2" t="s">
        <v>34</v>
      </c>
      <c r="E41" s="2">
        <v>1500.0</v>
      </c>
      <c r="F41" s="4"/>
      <c r="G41" s="2" t="s">
        <v>18</v>
      </c>
      <c r="H41" s="4"/>
      <c r="I41" s="4"/>
      <c r="J41" s="2" t="s">
        <v>19</v>
      </c>
      <c r="K41" s="2" t="s">
        <v>35</v>
      </c>
      <c r="L41" s="4"/>
      <c r="M41" s="4"/>
    </row>
    <row r="42" ht="13.5" customHeight="1">
      <c r="A42" s="1">
        <v>41.0</v>
      </c>
      <c r="B42" s="2" t="s">
        <v>56</v>
      </c>
      <c r="C42" s="2" t="s">
        <v>57</v>
      </c>
      <c r="D42" s="2" t="s">
        <v>58</v>
      </c>
      <c r="E42" s="2">
        <v>3500.0</v>
      </c>
      <c r="F42" s="4"/>
      <c r="G42" s="2" t="s">
        <v>18</v>
      </c>
      <c r="H42" s="4"/>
      <c r="I42" s="4"/>
      <c r="J42" s="2" t="s">
        <v>19</v>
      </c>
      <c r="K42" s="2" t="s">
        <v>20</v>
      </c>
      <c r="L42" s="4"/>
      <c r="M42" s="4"/>
    </row>
    <row r="43" ht="13.5" customHeight="1">
      <c r="A43" s="1">
        <v>42.0</v>
      </c>
      <c r="B43" s="2" t="s">
        <v>56</v>
      </c>
      <c r="C43" s="2" t="s">
        <v>57</v>
      </c>
      <c r="D43" s="2" t="s">
        <v>47</v>
      </c>
      <c r="E43" s="2">
        <v>15000.0</v>
      </c>
      <c r="F43" s="4"/>
      <c r="G43" s="2" t="s">
        <v>18</v>
      </c>
      <c r="H43" s="4"/>
      <c r="I43" s="4"/>
      <c r="J43" s="2" t="s">
        <v>19</v>
      </c>
      <c r="K43" s="2" t="s">
        <v>20</v>
      </c>
      <c r="L43" s="4"/>
      <c r="M43" s="4"/>
    </row>
    <row r="44" ht="13.5" customHeight="1">
      <c r="A44" s="1">
        <v>43.0</v>
      </c>
      <c r="B44" s="2" t="s">
        <v>56</v>
      </c>
      <c r="C44" s="2" t="s">
        <v>25</v>
      </c>
      <c r="D44" s="2" t="s">
        <v>26</v>
      </c>
      <c r="E44" s="2">
        <v>3000.0</v>
      </c>
      <c r="F44" s="4"/>
      <c r="G44" s="2" t="s">
        <v>18</v>
      </c>
      <c r="H44" s="4"/>
      <c r="I44" s="4"/>
      <c r="J44" s="2" t="s">
        <v>19</v>
      </c>
      <c r="K44" s="2" t="s">
        <v>20</v>
      </c>
      <c r="L44" s="4"/>
      <c r="M44" s="4"/>
    </row>
    <row r="45" ht="13.5" customHeight="1">
      <c r="A45" s="1">
        <v>44.0</v>
      </c>
      <c r="B45" s="2" t="s">
        <v>56</v>
      </c>
      <c r="C45" s="2" t="s">
        <v>22</v>
      </c>
      <c r="D45" s="2" t="s">
        <v>43</v>
      </c>
      <c r="E45" s="2">
        <v>3000.0</v>
      </c>
      <c r="F45" s="4"/>
      <c r="G45" s="2" t="s">
        <v>18</v>
      </c>
      <c r="H45" s="4"/>
      <c r="I45" s="4"/>
      <c r="J45" s="2" t="s">
        <v>19</v>
      </c>
      <c r="K45" s="2" t="s">
        <v>20</v>
      </c>
      <c r="L45" s="4"/>
      <c r="M45" s="4"/>
    </row>
    <row r="46" ht="13.5" customHeight="1">
      <c r="A46" s="1">
        <v>45.0</v>
      </c>
      <c r="B46" s="2" t="s">
        <v>56</v>
      </c>
      <c r="C46" s="2" t="s">
        <v>57</v>
      </c>
      <c r="D46" s="2" t="s">
        <v>59</v>
      </c>
      <c r="E46" s="2">
        <v>51000.0</v>
      </c>
      <c r="F46" s="4"/>
      <c r="G46" s="2" t="s">
        <v>18</v>
      </c>
      <c r="H46" s="4"/>
      <c r="I46" s="4"/>
      <c r="J46" s="2" t="s">
        <v>19</v>
      </c>
      <c r="K46" s="2" t="s">
        <v>24</v>
      </c>
      <c r="L46" s="4"/>
      <c r="M46" s="4"/>
    </row>
    <row r="47" ht="13.5" customHeight="1">
      <c r="A47" s="1">
        <v>46.0</v>
      </c>
      <c r="B47" s="2" t="s">
        <v>56</v>
      </c>
      <c r="C47" s="2" t="s">
        <v>57</v>
      </c>
      <c r="D47" s="2" t="s">
        <v>44</v>
      </c>
      <c r="E47" s="2">
        <v>15000.0</v>
      </c>
      <c r="F47" s="4"/>
      <c r="G47" s="2" t="s">
        <v>18</v>
      </c>
      <c r="H47" s="4"/>
      <c r="I47" s="4"/>
      <c r="J47" s="2" t="s">
        <v>19</v>
      </c>
      <c r="K47" s="2" t="s">
        <v>24</v>
      </c>
      <c r="L47" s="4"/>
      <c r="M47" s="4"/>
    </row>
    <row r="48" ht="13.5" customHeight="1">
      <c r="A48" s="1">
        <v>47.0</v>
      </c>
      <c r="B48" s="2" t="s">
        <v>56</v>
      </c>
      <c r="C48" s="2" t="s">
        <v>57</v>
      </c>
      <c r="D48" s="2" t="s">
        <v>27</v>
      </c>
      <c r="E48" s="2">
        <v>20000.0</v>
      </c>
      <c r="F48" s="4"/>
      <c r="G48" s="2" t="s">
        <v>18</v>
      </c>
      <c r="H48" s="4"/>
      <c r="I48" s="4"/>
      <c r="J48" s="2" t="s">
        <v>19</v>
      </c>
      <c r="K48" s="2" t="s">
        <v>24</v>
      </c>
      <c r="L48" s="4"/>
      <c r="M48" s="4"/>
    </row>
    <row r="49" ht="13.5" customHeight="1">
      <c r="A49" s="1">
        <v>48.0</v>
      </c>
      <c r="B49" s="2" t="s">
        <v>56</v>
      </c>
      <c r="C49" s="2" t="s">
        <v>30</v>
      </c>
      <c r="D49" s="2" t="s">
        <v>34</v>
      </c>
      <c r="E49" s="2">
        <v>1500.0</v>
      </c>
      <c r="F49" s="4"/>
      <c r="G49" s="2" t="s">
        <v>18</v>
      </c>
      <c r="H49" s="4"/>
      <c r="I49" s="4"/>
      <c r="J49" s="2" t="s">
        <v>19</v>
      </c>
      <c r="K49" s="2" t="s">
        <v>35</v>
      </c>
      <c r="L49" s="4"/>
      <c r="M49" s="4"/>
    </row>
    <row r="50" ht="13.5" customHeight="1">
      <c r="A50" s="1">
        <v>49.0</v>
      </c>
      <c r="B50" s="2" t="s">
        <v>56</v>
      </c>
      <c r="C50" s="2" t="s">
        <v>60</v>
      </c>
      <c r="D50" s="2" t="s">
        <v>61</v>
      </c>
      <c r="E50" s="2">
        <v>2000.0</v>
      </c>
      <c r="F50" s="4"/>
      <c r="G50" s="2" t="s">
        <v>18</v>
      </c>
      <c r="H50" s="4"/>
      <c r="I50" s="4"/>
      <c r="J50" s="2" t="s">
        <v>19</v>
      </c>
      <c r="K50" s="2" t="s">
        <v>20</v>
      </c>
      <c r="L50" s="4"/>
      <c r="M50" s="4"/>
    </row>
    <row r="51" ht="13.5" customHeight="1">
      <c r="A51" s="1">
        <v>50.0</v>
      </c>
      <c r="B51" s="2" t="s">
        <v>56</v>
      </c>
      <c r="C51" s="2" t="s">
        <v>25</v>
      </c>
      <c r="D51" s="2" t="s">
        <v>62</v>
      </c>
      <c r="E51" s="2">
        <v>30000.0</v>
      </c>
      <c r="F51" s="4"/>
      <c r="G51" s="2" t="s">
        <v>18</v>
      </c>
      <c r="H51" s="4"/>
      <c r="I51" s="4"/>
      <c r="J51" s="2" t="s">
        <v>19</v>
      </c>
      <c r="K51" s="2" t="s">
        <v>24</v>
      </c>
      <c r="L51" s="4"/>
      <c r="M51" s="4"/>
    </row>
    <row r="52" ht="13.5" customHeight="1">
      <c r="A52" s="1">
        <v>51.0</v>
      </c>
      <c r="B52" s="2" t="s">
        <v>63</v>
      </c>
      <c r="C52" s="2" t="s">
        <v>30</v>
      </c>
      <c r="D52" s="2" t="s">
        <v>31</v>
      </c>
      <c r="E52" s="4"/>
      <c r="F52" s="2">
        <v>800000.0</v>
      </c>
      <c r="G52" s="2" t="s">
        <v>64</v>
      </c>
      <c r="H52" s="4"/>
      <c r="I52" s="4"/>
      <c r="J52" s="2" t="s">
        <v>19</v>
      </c>
      <c r="K52" s="2" t="s">
        <v>33</v>
      </c>
      <c r="L52" s="4"/>
      <c r="M52" s="4"/>
    </row>
    <row r="53" ht="13.5" customHeight="1">
      <c r="A53" s="1">
        <v>52.0</v>
      </c>
      <c r="B53" s="2" t="s">
        <v>63</v>
      </c>
      <c r="C53" s="2" t="s">
        <v>16</v>
      </c>
      <c r="D53" s="2" t="s">
        <v>65</v>
      </c>
      <c r="E53" s="2">
        <v>50000.0</v>
      </c>
      <c r="F53" s="4"/>
      <c r="G53" s="2" t="s">
        <v>32</v>
      </c>
      <c r="H53" s="4"/>
      <c r="I53" s="4"/>
      <c r="J53" s="2" t="s">
        <v>19</v>
      </c>
      <c r="K53" s="2" t="s">
        <v>20</v>
      </c>
      <c r="L53" s="4"/>
      <c r="M53" s="4"/>
    </row>
    <row r="54" ht="13.5" customHeight="1">
      <c r="A54" s="1">
        <v>53.0</v>
      </c>
      <c r="B54" s="2" t="s">
        <v>63</v>
      </c>
      <c r="C54" s="2" t="s">
        <v>25</v>
      </c>
      <c r="D54" s="2" t="s">
        <v>26</v>
      </c>
      <c r="E54" s="2">
        <v>10000.0</v>
      </c>
      <c r="F54" s="4"/>
      <c r="G54" s="2" t="s">
        <v>18</v>
      </c>
      <c r="H54" s="4"/>
      <c r="I54" s="4"/>
      <c r="J54" s="2" t="s">
        <v>19</v>
      </c>
      <c r="K54" s="2" t="s">
        <v>35</v>
      </c>
      <c r="L54" s="4"/>
      <c r="M54" s="4"/>
    </row>
    <row r="55" ht="13.5" customHeight="1">
      <c r="A55" s="1">
        <v>54.0</v>
      </c>
      <c r="B55" s="2" t="s">
        <v>63</v>
      </c>
      <c r="C55" s="2" t="s">
        <v>66</v>
      </c>
      <c r="D55" s="2" t="s">
        <v>67</v>
      </c>
      <c r="E55" s="2">
        <v>234000.0</v>
      </c>
      <c r="F55" s="4"/>
      <c r="G55" s="2" t="s">
        <v>32</v>
      </c>
      <c r="H55" s="4"/>
      <c r="I55" s="4"/>
      <c r="J55" s="2" t="s">
        <v>19</v>
      </c>
      <c r="K55" s="2" t="s">
        <v>20</v>
      </c>
      <c r="L55" s="4"/>
      <c r="M55" s="4"/>
    </row>
    <row r="56" ht="13.5" customHeight="1">
      <c r="A56" s="1">
        <v>55.0</v>
      </c>
      <c r="B56" s="2" t="s">
        <v>63</v>
      </c>
      <c r="C56" s="2" t="s">
        <v>66</v>
      </c>
      <c r="D56" s="2" t="s">
        <v>58</v>
      </c>
      <c r="E56" s="2">
        <v>8000.0</v>
      </c>
      <c r="F56" s="4"/>
      <c r="G56" s="2" t="s">
        <v>18</v>
      </c>
      <c r="H56" s="4"/>
      <c r="I56" s="4"/>
      <c r="J56" s="2" t="s">
        <v>19</v>
      </c>
      <c r="K56" s="2" t="s">
        <v>20</v>
      </c>
      <c r="L56" s="4"/>
      <c r="M56" s="4"/>
    </row>
    <row r="57" ht="13.5" customHeight="1">
      <c r="A57" s="1">
        <v>56.0</v>
      </c>
      <c r="B57" s="2" t="s">
        <v>63</v>
      </c>
      <c r="C57" s="2" t="s">
        <v>25</v>
      </c>
      <c r="D57" s="2" t="s">
        <v>26</v>
      </c>
      <c r="E57" s="2">
        <v>4000.0</v>
      </c>
      <c r="F57" s="4"/>
      <c r="G57" s="2" t="s">
        <v>18</v>
      </c>
      <c r="H57" s="4"/>
      <c r="I57" s="4"/>
      <c r="J57" s="2" t="s">
        <v>19</v>
      </c>
      <c r="K57" s="2" t="s">
        <v>35</v>
      </c>
      <c r="L57" s="4"/>
      <c r="M57" s="4"/>
    </row>
    <row r="58" ht="13.5" customHeight="1">
      <c r="A58" s="1">
        <v>57.0</v>
      </c>
      <c r="B58" s="2" t="s">
        <v>68</v>
      </c>
      <c r="C58" s="2" t="s">
        <v>30</v>
      </c>
      <c r="D58" s="2" t="s">
        <v>69</v>
      </c>
      <c r="E58" s="2">
        <v>68000.0</v>
      </c>
      <c r="F58" s="4"/>
      <c r="G58" s="2" t="s">
        <v>18</v>
      </c>
      <c r="H58" s="4"/>
      <c r="I58" s="4"/>
      <c r="J58" s="2" t="s">
        <v>19</v>
      </c>
      <c r="K58" s="2" t="s">
        <v>24</v>
      </c>
      <c r="L58" s="4"/>
      <c r="M58" s="4"/>
    </row>
    <row r="59" ht="13.5" customHeight="1">
      <c r="A59" s="1">
        <v>58.0</v>
      </c>
      <c r="B59" s="2" t="s">
        <v>63</v>
      </c>
      <c r="C59" s="2" t="s">
        <v>22</v>
      </c>
      <c r="D59" s="2" t="s">
        <v>23</v>
      </c>
      <c r="E59" s="2">
        <v>50000.0</v>
      </c>
      <c r="F59" s="4"/>
      <c r="G59" s="2" t="s">
        <v>32</v>
      </c>
      <c r="H59" s="4"/>
      <c r="I59" s="4"/>
      <c r="J59" s="2" t="s">
        <v>19</v>
      </c>
      <c r="K59" s="2" t="s">
        <v>24</v>
      </c>
      <c r="L59" s="4"/>
      <c r="M59" s="4"/>
    </row>
    <row r="60" ht="13.5" customHeight="1">
      <c r="A60" s="1">
        <v>59.0</v>
      </c>
      <c r="B60" s="2" t="s">
        <v>63</v>
      </c>
      <c r="C60" s="2" t="s">
        <v>25</v>
      </c>
      <c r="D60" s="2" t="s">
        <v>70</v>
      </c>
      <c r="E60" s="2">
        <v>15000.0</v>
      </c>
      <c r="F60" s="4"/>
      <c r="G60" s="2" t="s">
        <v>18</v>
      </c>
      <c r="H60" s="4"/>
      <c r="I60" s="4"/>
      <c r="J60" s="2" t="s">
        <v>19</v>
      </c>
      <c r="K60" s="2" t="s">
        <v>24</v>
      </c>
      <c r="L60" s="4"/>
      <c r="M60" s="4"/>
    </row>
    <row r="61" ht="13.5" customHeight="1">
      <c r="A61" s="1">
        <v>60.0</v>
      </c>
      <c r="B61" s="2" t="s">
        <v>63</v>
      </c>
      <c r="C61" s="2" t="s">
        <v>57</v>
      </c>
      <c r="D61" s="2" t="s">
        <v>47</v>
      </c>
      <c r="E61" s="2">
        <v>30000.0</v>
      </c>
      <c r="F61" s="4"/>
      <c r="G61" s="2" t="s">
        <v>18</v>
      </c>
      <c r="H61" s="4"/>
      <c r="I61" s="4"/>
      <c r="J61" s="2" t="s">
        <v>19</v>
      </c>
      <c r="K61" s="2" t="s">
        <v>20</v>
      </c>
      <c r="L61" s="4"/>
      <c r="M61" s="4"/>
    </row>
    <row r="62" ht="13.5" customHeight="1">
      <c r="A62" s="1">
        <v>61.0</v>
      </c>
      <c r="B62" s="2" t="s">
        <v>63</v>
      </c>
      <c r="C62" s="2" t="s">
        <v>25</v>
      </c>
      <c r="D62" s="2" t="s">
        <v>26</v>
      </c>
      <c r="E62" s="2">
        <v>2000.0</v>
      </c>
      <c r="F62" s="4"/>
      <c r="G62" s="2" t="s">
        <v>18</v>
      </c>
      <c r="H62" s="4"/>
      <c r="I62" s="4"/>
      <c r="J62" s="2" t="s">
        <v>19</v>
      </c>
      <c r="K62" s="2" t="s">
        <v>20</v>
      </c>
      <c r="L62" s="4"/>
      <c r="M62" s="4"/>
    </row>
    <row r="63" ht="13.5" customHeight="1">
      <c r="A63" s="1">
        <v>62.0</v>
      </c>
      <c r="B63" s="2" t="s">
        <v>71</v>
      </c>
      <c r="C63" s="2" t="s">
        <v>66</v>
      </c>
      <c r="D63" s="2" t="s">
        <v>72</v>
      </c>
      <c r="E63" s="2">
        <v>45000.0</v>
      </c>
      <c r="F63" s="4"/>
      <c r="G63" s="2" t="s">
        <v>18</v>
      </c>
      <c r="H63" s="4"/>
      <c r="I63" s="4"/>
      <c r="J63" s="2" t="s">
        <v>19</v>
      </c>
      <c r="K63" s="2" t="s">
        <v>20</v>
      </c>
      <c r="L63" s="4"/>
      <c r="M63" s="4"/>
    </row>
    <row r="64" ht="13.5" customHeight="1">
      <c r="A64" s="1">
        <v>63.0</v>
      </c>
      <c r="B64" s="2" t="s">
        <v>71</v>
      </c>
      <c r="C64" s="2" t="s">
        <v>66</v>
      </c>
      <c r="D64" s="2" t="s">
        <v>59</v>
      </c>
      <c r="E64" s="2">
        <v>122000.0</v>
      </c>
      <c r="F64" s="4"/>
      <c r="G64" s="2" t="s">
        <v>18</v>
      </c>
      <c r="H64" s="4"/>
      <c r="I64" s="4"/>
      <c r="J64" s="2" t="s">
        <v>19</v>
      </c>
      <c r="K64" s="2" t="s">
        <v>24</v>
      </c>
      <c r="L64" s="4"/>
      <c r="M64" s="4"/>
    </row>
    <row r="65" ht="13.5" customHeight="1">
      <c r="A65" s="1">
        <v>64.0</v>
      </c>
      <c r="B65" s="2" t="s">
        <v>71</v>
      </c>
      <c r="C65" s="2" t="s">
        <v>66</v>
      </c>
      <c r="D65" s="2" t="s">
        <v>17</v>
      </c>
      <c r="E65" s="2">
        <v>30000.0</v>
      </c>
      <c r="F65" s="4"/>
      <c r="G65" s="2" t="s">
        <v>18</v>
      </c>
      <c r="H65" s="4"/>
      <c r="I65" s="4"/>
      <c r="J65" s="2" t="s">
        <v>19</v>
      </c>
      <c r="K65" s="2" t="s">
        <v>20</v>
      </c>
      <c r="L65" s="4"/>
      <c r="M65" s="4"/>
    </row>
    <row r="66" ht="13.5" customHeight="1">
      <c r="A66" s="1">
        <v>65.0</v>
      </c>
      <c r="B66" s="2" t="s">
        <v>71</v>
      </c>
      <c r="C66" s="2" t="s">
        <v>16</v>
      </c>
      <c r="D66" s="2" t="s">
        <v>73</v>
      </c>
      <c r="E66" s="2">
        <v>20000.0</v>
      </c>
      <c r="F66" s="4"/>
      <c r="G66" s="2" t="s">
        <v>18</v>
      </c>
      <c r="H66" s="4"/>
      <c r="I66" s="4"/>
      <c r="J66" s="2" t="s">
        <v>19</v>
      </c>
      <c r="K66" s="2" t="s">
        <v>20</v>
      </c>
      <c r="L66" s="4"/>
      <c r="M66" s="4"/>
    </row>
    <row r="67" ht="13.5" customHeight="1">
      <c r="A67" s="1">
        <v>66.0</v>
      </c>
      <c r="B67" s="2" t="s">
        <v>71</v>
      </c>
      <c r="C67" s="2" t="s">
        <v>22</v>
      </c>
      <c r="D67" s="2" t="s">
        <v>74</v>
      </c>
      <c r="E67" s="2">
        <v>7500.0</v>
      </c>
      <c r="F67" s="4"/>
      <c r="G67" s="2" t="s">
        <v>18</v>
      </c>
      <c r="H67" s="4"/>
      <c r="I67" s="4"/>
      <c r="J67" s="2" t="s">
        <v>19</v>
      </c>
      <c r="K67" s="2" t="s">
        <v>20</v>
      </c>
      <c r="L67" s="4"/>
      <c r="M67" s="4"/>
    </row>
    <row r="68" ht="13.5" customHeight="1">
      <c r="A68" s="1">
        <v>67.0</v>
      </c>
      <c r="B68" s="2" t="s">
        <v>71</v>
      </c>
      <c r="C68" s="2" t="s">
        <v>25</v>
      </c>
      <c r="D68" s="2" t="s">
        <v>26</v>
      </c>
      <c r="E68" s="2">
        <v>5000.0</v>
      </c>
      <c r="F68" s="4"/>
      <c r="G68" s="2" t="s">
        <v>18</v>
      </c>
      <c r="H68" s="4"/>
      <c r="I68" s="4"/>
      <c r="J68" s="2" t="s">
        <v>19</v>
      </c>
      <c r="K68" s="2" t="s">
        <v>35</v>
      </c>
      <c r="L68" s="4"/>
      <c r="M68" s="4"/>
    </row>
    <row r="69" ht="13.5" customHeight="1">
      <c r="A69" s="1">
        <v>68.0</v>
      </c>
      <c r="B69" s="2" t="s">
        <v>71</v>
      </c>
      <c r="C69" s="2" t="s">
        <v>16</v>
      </c>
      <c r="D69" s="2" t="s">
        <v>47</v>
      </c>
      <c r="E69" s="2">
        <v>15000.0</v>
      </c>
      <c r="F69" s="4"/>
      <c r="G69" s="2" t="s">
        <v>18</v>
      </c>
      <c r="H69" s="4"/>
      <c r="I69" s="4"/>
      <c r="J69" s="2" t="s">
        <v>19</v>
      </c>
      <c r="K69" s="2" t="s">
        <v>24</v>
      </c>
      <c r="L69" s="4"/>
      <c r="M69" s="4"/>
    </row>
    <row r="70" ht="13.5" customHeight="1">
      <c r="A70" s="1">
        <v>69.0</v>
      </c>
      <c r="B70" s="2" t="s">
        <v>71</v>
      </c>
      <c r="C70" s="2" t="s">
        <v>16</v>
      </c>
      <c r="D70" s="2" t="s">
        <v>44</v>
      </c>
      <c r="E70" s="2">
        <v>5000.0</v>
      </c>
      <c r="F70" s="4"/>
      <c r="G70" s="2" t="s">
        <v>18</v>
      </c>
      <c r="H70" s="4"/>
      <c r="I70" s="4"/>
      <c r="J70" s="2" t="s">
        <v>19</v>
      </c>
      <c r="K70" s="2" t="s">
        <v>35</v>
      </c>
      <c r="L70" s="4"/>
      <c r="M70" s="4"/>
    </row>
    <row r="71" ht="13.5" customHeight="1">
      <c r="A71" s="1">
        <v>70.0</v>
      </c>
      <c r="B71" s="2" t="s">
        <v>71</v>
      </c>
      <c r="C71" s="2" t="s">
        <v>30</v>
      </c>
      <c r="D71" s="2" t="s">
        <v>34</v>
      </c>
      <c r="E71" s="2">
        <v>1500.0</v>
      </c>
      <c r="F71" s="4"/>
      <c r="G71" s="2" t="s">
        <v>18</v>
      </c>
      <c r="H71" s="4"/>
      <c r="I71" s="4"/>
      <c r="J71" s="2" t="s">
        <v>19</v>
      </c>
      <c r="K71" s="2" t="s">
        <v>24</v>
      </c>
      <c r="L71" s="4"/>
      <c r="M71" s="4"/>
    </row>
    <row r="72" ht="13.5" customHeight="1">
      <c r="A72" s="1">
        <v>71.0</v>
      </c>
      <c r="B72" s="2" t="s">
        <v>71</v>
      </c>
      <c r="C72" s="2" t="s">
        <v>57</v>
      </c>
      <c r="D72" s="2" t="s">
        <v>75</v>
      </c>
      <c r="E72" s="2">
        <v>3000.0</v>
      </c>
      <c r="F72" s="4"/>
      <c r="G72" s="2" t="s">
        <v>18</v>
      </c>
      <c r="H72" s="4"/>
      <c r="I72" s="4"/>
      <c r="J72" s="2" t="s">
        <v>19</v>
      </c>
      <c r="K72" s="2" t="s">
        <v>24</v>
      </c>
      <c r="L72" s="4"/>
      <c r="M72" s="4"/>
    </row>
    <row r="73" ht="13.5" customHeight="1">
      <c r="A73" s="1">
        <v>72.0</v>
      </c>
      <c r="B73" s="2" t="s">
        <v>71</v>
      </c>
      <c r="C73" s="2" t="s">
        <v>57</v>
      </c>
      <c r="D73" s="2" t="s">
        <v>70</v>
      </c>
      <c r="E73" s="2">
        <v>10000.0</v>
      </c>
      <c r="F73" s="4"/>
      <c r="G73" s="2" t="s">
        <v>18</v>
      </c>
      <c r="H73" s="4"/>
      <c r="I73" s="4"/>
      <c r="J73" s="2" t="s">
        <v>19</v>
      </c>
      <c r="K73" s="2" t="s">
        <v>24</v>
      </c>
      <c r="L73" s="4"/>
      <c r="M73" s="4"/>
    </row>
    <row r="74" ht="13.5" customHeight="1">
      <c r="A74" s="1">
        <v>73.0</v>
      </c>
      <c r="B74" s="5">
        <v>45973.0</v>
      </c>
      <c r="C74" s="2" t="s">
        <v>30</v>
      </c>
      <c r="D74" s="2" t="s">
        <v>31</v>
      </c>
      <c r="E74" s="2"/>
      <c r="F74" s="2">
        <v>600000.0</v>
      </c>
      <c r="G74" s="2" t="s">
        <v>18</v>
      </c>
      <c r="H74" s="4"/>
      <c r="I74" s="4"/>
      <c r="J74" s="2" t="s">
        <v>19</v>
      </c>
      <c r="K74" s="2" t="s">
        <v>33</v>
      </c>
      <c r="L74" s="4"/>
      <c r="M74" s="4"/>
    </row>
    <row r="75" ht="13.5" customHeight="1">
      <c r="A75" s="1">
        <v>74.0</v>
      </c>
      <c r="B75" s="5">
        <v>45973.0</v>
      </c>
      <c r="C75" s="2" t="s">
        <v>57</v>
      </c>
      <c r="D75" s="2" t="s">
        <v>76</v>
      </c>
      <c r="E75" s="2">
        <v>63000.0</v>
      </c>
      <c r="F75" s="4"/>
      <c r="G75" s="2" t="s">
        <v>18</v>
      </c>
      <c r="H75" s="4"/>
      <c r="I75" s="4"/>
      <c r="J75" s="2" t="s">
        <v>19</v>
      </c>
      <c r="K75" s="2" t="s">
        <v>24</v>
      </c>
      <c r="L75" s="4"/>
      <c r="M75" s="4"/>
    </row>
    <row r="76" ht="13.5" customHeight="1">
      <c r="A76" s="1">
        <v>75.0</v>
      </c>
      <c r="B76" s="5">
        <v>45973.0</v>
      </c>
      <c r="C76" s="2" t="s">
        <v>57</v>
      </c>
      <c r="D76" s="2" t="s">
        <v>59</v>
      </c>
      <c r="E76" s="2">
        <v>35000.0</v>
      </c>
      <c r="F76" s="4"/>
      <c r="G76" s="2" t="s">
        <v>18</v>
      </c>
      <c r="H76" s="4"/>
      <c r="I76" s="4"/>
      <c r="J76" s="2" t="s">
        <v>19</v>
      </c>
      <c r="K76" s="2" t="s">
        <v>24</v>
      </c>
      <c r="L76" s="4"/>
      <c r="M76" s="4"/>
    </row>
    <row r="77" ht="13.5" customHeight="1">
      <c r="A77" s="1">
        <v>76.0</v>
      </c>
      <c r="B77" s="5">
        <v>46003.0</v>
      </c>
      <c r="C77" s="2" t="s">
        <v>57</v>
      </c>
      <c r="D77" s="2" t="s">
        <v>47</v>
      </c>
      <c r="E77" s="2">
        <v>100000.0</v>
      </c>
      <c r="F77" s="4"/>
      <c r="G77" s="2" t="s">
        <v>18</v>
      </c>
      <c r="H77" s="4"/>
      <c r="I77" s="4"/>
      <c r="J77" s="2" t="s">
        <v>19</v>
      </c>
      <c r="K77" s="2" t="s">
        <v>20</v>
      </c>
      <c r="L77" s="4"/>
      <c r="M77" s="4"/>
    </row>
    <row r="78" ht="13.5" customHeight="1">
      <c r="A78" s="1">
        <v>77.0</v>
      </c>
      <c r="B78" s="5">
        <v>46003.0</v>
      </c>
      <c r="C78" s="2" t="s">
        <v>57</v>
      </c>
      <c r="D78" s="2" t="s">
        <v>77</v>
      </c>
      <c r="E78" s="2">
        <v>8000.0</v>
      </c>
      <c r="F78" s="4"/>
      <c r="G78" s="2" t="s">
        <v>18</v>
      </c>
      <c r="H78" s="4"/>
      <c r="I78" s="4"/>
      <c r="J78" s="2" t="s">
        <v>19</v>
      </c>
      <c r="K78" s="2" t="s">
        <v>20</v>
      </c>
      <c r="L78" s="4"/>
      <c r="M78" s="4"/>
    </row>
    <row r="79" ht="13.5" customHeight="1">
      <c r="A79" s="1">
        <v>78.0</v>
      </c>
      <c r="B79" s="5">
        <v>46003.0</v>
      </c>
      <c r="C79" s="2" t="s">
        <v>57</v>
      </c>
      <c r="D79" s="2" t="s">
        <v>78</v>
      </c>
      <c r="E79" s="2">
        <v>5000.0</v>
      </c>
      <c r="F79" s="4"/>
      <c r="G79" s="2" t="s">
        <v>18</v>
      </c>
      <c r="H79" s="4"/>
      <c r="I79" s="4"/>
      <c r="J79" s="2" t="s">
        <v>19</v>
      </c>
      <c r="K79" s="2" t="s">
        <v>20</v>
      </c>
      <c r="L79" s="4"/>
      <c r="M79" s="4"/>
    </row>
    <row r="80" ht="13.5" customHeight="1">
      <c r="A80" s="1">
        <v>79.0</v>
      </c>
      <c r="B80" s="5">
        <v>46003.0</v>
      </c>
      <c r="C80" s="2" t="s">
        <v>57</v>
      </c>
      <c r="D80" s="2" t="s">
        <v>79</v>
      </c>
      <c r="E80" s="2">
        <v>10000.0</v>
      </c>
      <c r="F80" s="4"/>
      <c r="G80" s="2" t="s">
        <v>18</v>
      </c>
      <c r="H80" s="4"/>
      <c r="I80" s="4"/>
      <c r="J80" s="2" t="s">
        <v>19</v>
      </c>
      <c r="K80" s="2" t="s">
        <v>24</v>
      </c>
      <c r="L80" s="4"/>
      <c r="M80" s="4"/>
    </row>
    <row r="81" ht="13.5" customHeight="1">
      <c r="A81" s="1">
        <v>80.0</v>
      </c>
      <c r="B81" s="5">
        <v>46003.0</v>
      </c>
      <c r="C81" s="2" t="s">
        <v>57</v>
      </c>
      <c r="D81" s="2" t="s">
        <v>76</v>
      </c>
      <c r="E81" s="2">
        <v>60000.0</v>
      </c>
      <c r="F81" s="4"/>
      <c r="G81" s="2" t="s">
        <v>18</v>
      </c>
      <c r="H81" s="4"/>
      <c r="I81" s="4"/>
      <c r="J81" s="2" t="s">
        <v>19</v>
      </c>
      <c r="K81" s="2" t="s">
        <v>24</v>
      </c>
      <c r="L81" s="4"/>
      <c r="M81" s="4"/>
    </row>
    <row r="82" ht="13.5" customHeight="1">
      <c r="A82" s="1">
        <v>81.0</v>
      </c>
      <c r="B82" s="5">
        <v>46003.0</v>
      </c>
      <c r="C82" s="2" t="s">
        <v>57</v>
      </c>
      <c r="D82" s="2" t="s">
        <v>55</v>
      </c>
      <c r="E82" s="2">
        <v>5000.0</v>
      </c>
      <c r="F82" s="4"/>
      <c r="G82" s="2" t="s">
        <v>18</v>
      </c>
      <c r="H82" s="4"/>
      <c r="I82" s="4"/>
      <c r="J82" s="2" t="s">
        <v>19</v>
      </c>
      <c r="K82" s="2" t="s">
        <v>24</v>
      </c>
      <c r="L82" s="4"/>
      <c r="M82" s="4"/>
    </row>
    <row r="83" ht="13.5" customHeight="1">
      <c r="A83" s="1">
        <v>82.0</v>
      </c>
      <c r="B83" s="2" t="s">
        <v>80</v>
      </c>
      <c r="C83" s="2" t="s">
        <v>57</v>
      </c>
      <c r="D83" s="2" t="s">
        <v>47</v>
      </c>
      <c r="E83" s="2">
        <v>30000.0</v>
      </c>
      <c r="F83" s="4"/>
      <c r="G83" s="2" t="s">
        <v>18</v>
      </c>
      <c r="H83" s="4"/>
      <c r="I83" s="4"/>
      <c r="J83" s="2" t="s">
        <v>19</v>
      </c>
      <c r="K83" s="2" t="s">
        <v>20</v>
      </c>
      <c r="L83" s="4"/>
      <c r="M83" s="4"/>
    </row>
    <row r="84" ht="13.5" customHeight="1">
      <c r="A84" s="1">
        <v>83.0</v>
      </c>
      <c r="B84" s="2" t="s">
        <v>80</v>
      </c>
      <c r="C84" s="2" t="s">
        <v>57</v>
      </c>
      <c r="D84" s="2" t="s">
        <v>76</v>
      </c>
      <c r="E84" s="2">
        <v>60000.0</v>
      </c>
      <c r="F84" s="4"/>
      <c r="G84" s="2" t="s">
        <v>18</v>
      </c>
      <c r="H84" s="4"/>
      <c r="I84" s="4"/>
      <c r="J84" s="2" t="s">
        <v>19</v>
      </c>
      <c r="K84" s="2" t="s">
        <v>24</v>
      </c>
      <c r="L84" s="4"/>
      <c r="M84" s="4"/>
    </row>
    <row r="85" ht="13.5" customHeight="1">
      <c r="A85" s="1">
        <v>84.0</v>
      </c>
      <c r="B85" s="2" t="s">
        <v>80</v>
      </c>
      <c r="C85" s="2" t="s">
        <v>57</v>
      </c>
      <c r="D85" s="2" t="s">
        <v>81</v>
      </c>
      <c r="E85" s="2">
        <v>15000.0</v>
      </c>
      <c r="F85" s="4"/>
      <c r="G85" s="2" t="s">
        <v>18</v>
      </c>
      <c r="H85" s="4"/>
      <c r="I85" s="4"/>
      <c r="J85" s="2" t="s">
        <v>19</v>
      </c>
      <c r="K85" s="2" t="s">
        <v>20</v>
      </c>
      <c r="L85" s="4"/>
      <c r="M85" s="4"/>
    </row>
    <row r="86" ht="13.5" customHeight="1">
      <c r="A86" s="1">
        <v>85.0</v>
      </c>
      <c r="B86" s="2" t="s">
        <v>82</v>
      </c>
      <c r="C86" s="2" t="s">
        <v>57</v>
      </c>
      <c r="D86" s="2" t="s">
        <v>27</v>
      </c>
      <c r="E86" s="2">
        <v>20000.0</v>
      </c>
      <c r="F86" s="4"/>
      <c r="G86" s="2" t="s">
        <v>18</v>
      </c>
      <c r="H86" s="4"/>
      <c r="I86" s="4"/>
      <c r="J86" s="2" t="s">
        <v>19</v>
      </c>
      <c r="K86" s="2" t="s">
        <v>24</v>
      </c>
      <c r="L86" s="4"/>
      <c r="M86" s="4"/>
    </row>
    <row r="87" ht="13.5" customHeight="1">
      <c r="A87" s="1">
        <v>86.0</v>
      </c>
      <c r="B87" s="2" t="s">
        <v>82</v>
      </c>
      <c r="C87" s="2" t="s">
        <v>57</v>
      </c>
      <c r="D87" s="2" t="s">
        <v>28</v>
      </c>
      <c r="E87" s="2">
        <v>20000.0</v>
      </c>
      <c r="F87" s="4"/>
      <c r="G87" s="2" t="s">
        <v>18</v>
      </c>
      <c r="H87" s="4"/>
      <c r="I87" s="4"/>
      <c r="J87" s="2" t="s">
        <v>19</v>
      </c>
      <c r="K87" s="2" t="s">
        <v>24</v>
      </c>
      <c r="L87" s="4"/>
      <c r="M87" s="4"/>
    </row>
    <row r="88" ht="13.5" customHeight="1">
      <c r="A88" s="1">
        <v>87.0</v>
      </c>
      <c r="B88" s="2" t="s">
        <v>82</v>
      </c>
      <c r="C88" s="2" t="s">
        <v>57</v>
      </c>
      <c r="D88" s="2" t="s">
        <v>70</v>
      </c>
      <c r="E88" s="2">
        <v>10000.0</v>
      </c>
      <c r="F88" s="4"/>
      <c r="G88" s="2" t="s">
        <v>18</v>
      </c>
      <c r="H88" s="4"/>
      <c r="I88" s="4"/>
      <c r="J88" s="2" t="s">
        <v>19</v>
      </c>
      <c r="K88" s="2" t="s">
        <v>24</v>
      </c>
      <c r="L88" s="4"/>
      <c r="M88" s="4"/>
    </row>
    <row r="89" ht="13.5" customHeight="1">
      <c r="A89" s="1">
        <v>88.0</v>
      </c>
      <c r="B89" s="2" t="s">
        <v>82</v>
      </c>
      <c r="C89" s="2" t="s">
        <v>57</v>
      </c>
      <c r="D89" s="2" t="s">
        <v>83</v>
      </c>
      <c r="E89" s="2">
        <v>10000.0</v>
      </c>
      <c r="F89" s="4"/>
      <c r="G89" s="2" t="s">
        <v>18</v>
      </c>
      <c r="H89" s="4"/>
      <c r="I89" s="4"/>
      <c r="J89" s="2" t="s">
        <v>19</v>
      </c>
      <c r="K89" s="2" t="s">
        <v>20</v>
      </c>
      <c r="L89" s="4"/>
      <c r="M89" s="4"/>
    </row>
    <row r="90" ht="13.5" customHeight="1">
      <c r="A90" s="1">
        <v>89.0</v>
      </c>
      <c r="B90" s="2" t="s">
        <v>84</v>
      </c>
      <c r="C90" s="2" t="s">
        <v>57</v>
      </c>
      <c r="D90" s="2" t="s">
        <v>28</v>
      </c>
      <c r="E90" s="2">
        <v>90000.0</v>
      </c>
      <c r="F90" s="4"/>
      <c r="G90" s="2" t="s">
        <v>18</v>
      </c>
      <c r="H90" s="4"/>
      <c r="I90" s="4"/>
      <c r="J90" s="2" t="s">
        <v>19</v>
      </c>
      <c r="K90" s="2" t="s">
        <v>24</v>
      </c>
      <c r="L90" s="4"/>
      <c r="M90" s="4"/>
    </row>
    <row r="91" ht="13.5" customHeight="1">
      <c r="A91" s="1">
        <v>90.0</v>
      </c>
      <c r="B91" s="2" t="s">
        <v>84</v>
      </c>
      <c r="C91" s="2" t="s">
        <v>57</v>
      </c>
      <c r="D91" s="2" t="s">
        <v>27</v>
      </c>
      <c r="E91" s="2">
        <v>55000.0</v>
      </c>
      <c r="F91" s="4"/>
      <c r="G91" s="2" t="s">
        <v>18</v>
      </c>
      <c r="H91" s="4"/>
      <c r="I91" s="4"/>
      <c r="J91" s="2" t="s">
        <v>19</v>
      </c>
      <c r="K91" s="2" t="s">
        <v>24</v>
      </c>
      <c r="L91" s="4"/>
      <c r="M91" s="4"/>
    </row>
    <row r="92" ht="13.5" customHeight="1">
      <c r="A92" s="1">
        <v>91.0</v>
      </c>
      <c r="B92" s="2" t="s">
        <v>84</v>
      </c>
      <c r="C92" s="2" t="s">
        <v>57</v>
      </c>
      <c r="D92" s="2" t="s">
        <v>85</v>
      </c>
      <c r="E92" s="2">
        <v>50000.0</v>
      </c>
      <c r="F92" s="4"/>
      <c r="G92" s="2" t="s">
        <v>18</v>
      </c>
      <c r="H92" s="4"/>
      <c r="I92" s="4"/>
      <c r="J92" s="2" t="s">
        <v>19</v>
      </c>
      <c r="K92" s="2" t="s">
        <v>24</v>
      </c>
      <c r="L92" s="4"/>
      <c r="M92" s="4"/>
    </row>
    <row r="93" ht="13.5" customHeight="1">
      <c r="A93" s="1">
        <v>92.0</v>
      </c>
      <c r="B93" s="2" t="s">
        <v>84</v>
      </c>
      <c r="C93" s="2" t="s">
        <v>57</v>
      </c>
      <c r="D93" s="2" t="s">
        <v>86</v>
      </c>
      <c r="E93" s="2">
        <v>4000.0</v>
      </c>
      <c r="F93" s="4"/>
      <c r="G93" s="2" t="s">
        <v>18</v>
      </c>
      <c r="H93" s="4"/>
      <c r="I93" s="4"/>
      <c r="J93" s="2" t="s">
        <v>19</v>
      </c>
      <c r="K93" s="2" t="s">
        <v>20</v>
      </c>
      <c r="L93" s="4"/>
      <c r="M93" s="4"/>
    </row>
    <row r="94" ht="13.5" customHeight="1">
      <c r="A94" s="1">
        <v>93.0</v>
      </c>
      <c r="B94" s="2" t="s">
        <v>84</v>
      </c>
      <c r="C94" s="2" t="s">
        <v>57</v>
      </c>
      <c r="D94" s="2" t="s">
        <v>87</v>
      </c>
      <c r="E94" s="2">
        <v>35000.0</v>
      </c>
      <c r="F94" s="4"/>
      <c r="G94" s="2" t="s">
        <v>18</v>
      </c>
      <c r="H94" s="4"/>
      <c r="I94" s="4"/>
      <c r="J94" s="2" t="s">
        <v>19</v>
      </c>
      <c r="K94" s="2" t="s">
        <v>24</v>
      </c>
      <c r="L94" s="4"/>
      <c r="M94" s="4"/>
    </row>
    <row r="95" ht="13.5" customHeight="1">
      <c r="A95" s="1">
        <v>94.0</v>
      </c>
      <c r="B95" s="2" t="s">
        <v>84</v>
      </c>
      <c r="C95" s="2" t="s">
        <v>57</v>
      </c>
      <c r="D95" s="2" t="s">
        <v>70</v>
      </c>
      <c r="E95" s="2">
        <v>10000.0</v>
      </c>
      <c r="F95" s="4"/>
      <c r="G95" s="2" t="s">
        <v>18</v>
      </c>
      <c r="H95" s="4"/>
      <c r="I95" s="4"/>
      <c r="J95" s="2" t="s">
        <v>19</v>
      </c>
      <c r="K95" s="2" t="s">
        <v>24</v>
      </c>
      <c r="L95" s="4"/>
      <c r="M95" s="4"/>
    </row>
    <row r="96" ht="13.5" customHeight="1">
      <c r="A96" s="1">
        <v>95.0</v>
      </c>
      <c r="B96" s="2" t="s">
        <v>84</v>
      </c>
      <c r="C96" s="2" t="s">
        <v>57</v>
      </c>
      <c r="D96" s="2" t="s">
        <v>27</v>
      </c>
      <c r="E96" s="2">
        <v>20000.0</v>
      </c>
      <c r="F96" s="4"/>
      <c r="G96" s="2" t="s">
        <v>18</v>
      </c>
      <c r="H96" s="4"/>
      <c r="I96" s="4"/>
      <c r="J96" s="2" t="s">
        <v>19</v>
      </c>
      <c r="K96" s="2" t="s">
        <v>24</v>
      </c>
      <c r="L96" s="4"/>
      <c r="M96" s="4"/>
    </row>
    <row r="97" ht="13.5" customHeight="1">
      <c r="A97" s="1">
        <v>96.0</v>
      </c>
      <c r="B97" s="2" t="s">
        <v>88</v>
      </c>
      <c r="C97" s="2" t="s">
        <v>57</v>
      </c>
      <c r="D97" s="2" t="s">
        <v>28</v>
      </c>
      <c r="E97" s="2">
        <v>20000.0</v>
      </c>
      <c r="F97" s="4"/>
      <c r="G97" s="2" t="s">
        <v>18</v>
      </c>
      <c r="H97" s="4"/>
      <c r="I97" s="4"/>
      <c r="J97" s="2" t="s">
        <v>19</v>
      </c>
      <c r="K97" s="2" t="s">
        <v>24</v>
      </c>
      <c r="L97" s="4"/>
      <c r="M97" s="4"/>
    </row>
    <row r="98" ht="13.5" customHeight="1">
      <c r="A98" s="1">
        <v>97.0</v>
      </c>
      <c r="B98" s="2" t="s">
        <v>88</v>
      </c>
      <c r="C98" s="2" t="s">
        <v>57</v>
      </c>
      <c r="D98" s="2" t="s">
        <v>76</v>
      </c>
      <c r="E98" s="2">
        <v>36000.0</v>
      </c>
      <c r="F98" s="4"/>
      <c r="G98" s="2" t="s">
        <v>18</v>
      </c>
      <c r="H98" s="4"/>
      <c r="I98" s="4"/>
      <c r="J98" s="2" t="s">
        <v>19</v>
      </c>
      <c r="K98" s="2" t="s">
        <v>24</v>
      </c>
      <c r="L98" s="4"/>
      <c r="M98" s="4"/>
    </row>
    <row r="99" ht="13.5" customHeight="1">
      <c r="A99" s="1">
        <v>98.0</v>
      </c>
      <c r="B99" s="2" t="s">
        <v>88</v>
      </c>
      <c r="C99" s="2" t="s">
        <v>57</v>
      </c>
      <c r="D99" s="2" t="s">
        <v>59</v>
      </c>
      <c r="E99" s="2">
        <v>51000.0</v>
      </c>
      <c r="F99" s="4"/>
      <c r="G99" s="2" t="s">
        <v>18</v>
      </c>
      <c r="H99" s="4"/>
      <c r="I99" s="4"/>
      <c r="J99" s="2" t="s">
        <v>19</v>
      </c>
      <c r="K99" s="2" t="s">
        <v>24</v>
      </c>
      <c r="L99" s="4"/>
      <c r="M99" s="4"/>
    </row>
    <row r="100" ht="13.5" customHeight="1">
      <c r="A100" s="1">
        <v>99.0</v>
      </c>
      <c r="B100" s="2" t="s">
        <v>88</v>
      </c>
      <c r="C100" s="2" t="s">
        <v>57</v>
      </c>
      <c r="D100" s="2" t="s">
        <v>47</v>
      </c>
      <c r="E100" s="2">
        <v>32000.0</v>
      </c>
      <c r="F100" s="4"/>
      <c r="G100" s="2" t="s">
        <v>18</v>
      </c>
      <c r="H100" s="4"/>
      <c r="I100" s="4"/>
      <c r="J100" s="2" t="s">
        <v>19</v>
      </c>
      <c r="K100" s="2" t="s">
        <v>20</v>
      </c>
      <c r="L100" s="4"/>
      <c r="M100" s="4"/>
    </row>
    <row r="101" ht="13.5" customHeight="1">
      <c r="A101" s="1">
        <v>100.0</v>
      </c>
      <c r="B101" s="2" t="s">
        <v>88</v>
      </c>
      <c r="C101" s="2" t="s">
        <v>57</v>
      </c>
      <c r="D101" s="2" t="s">
        <v>61</v>
      </c>
      <c r="E101" s="2">
        <v>15000.0</v>
      </c>
      <c r="F101" s="4"/>
      <c r="G101" s="2" t="s">
        <v>18</v>
      </c>
      <c r="H101" s="4"/>
      <c r="I101" s="4"/>
      <c r="J101" s="2" t="s">
        <v>19</v>
      </c>
      <c r="K101" s="2" t="s">
        <v>20</v>
      </c>
      <c r="L101" s="4"/>
      <c r="M101" s="4"/>
    </row>
    <row r="102" ht="13.5" customHeight="1">
      <c r="A102" s="1">
        <v>101.0</v>
      </c>
      <c r="B102" s="2" t="s">
        <v>88</v>
      </c>
      <c r="C102" s="2" t="s">
        <v>57</v>
      </c>
      <c r="D102" s="2" t="s">
        <v>70</v>
      </c>
      <c r="E102" s="2">
        <v>10000.0</v>
      </c>
      <c r="F102" s="4"/>
      <c r="G102" s="2" t="s">
        <v>18</v>
      </c>
      <c r="H102" s="4"/>
      <c r="I102" s="4"/>
      <c r="J102" s="2" t="s">
        <v>19</v>
      </c>
      <c r="K102" s="2" t="s">
        <v>24</v>
      </c>
      <c r="L102" s="4"/>
      <c r="M102" s="4"/>
    </row>
    <row r="103" ht="13.5" customHeight="1">
      <c r="A103" s="1">
        <v>102.0</v>
      </c>
      <c r="B103" s="2" t="s">
        <v>89</v>
      </c>
      <c r="C103" s="2" t="s">
        <v>66</v>
      </c>
      <c r="D103" s="2" t="s">
        <v>61</v>
      </c>
      <c r="E103" s="2">
        <v>5000.0</v>
      </c>
      <c r="F103" s="4"/>
      <c r="G103" s="2" t="s">
        <v>18</v>
      </c>
      <c r="H103" s="4"/>
      <c r="I103" s="4"/>
      <c r="J103" s="2" t="s">
        <v>19</v>
      </c>
      <c r="K103" s="2" t="s">
        <v>20</v>
      </c>
      <c r="L103" s="4"/>
      <c r="M103" s="4"/>
    </row>
    <row r="104" ht="13.5" customHeight="1">
      <c r="A104" s="1">
        <v>103.0</v>
      </c>
      <c r="B104" s="2" t="s">
        <v>89</v>
      </c>
      <c r="C104" s="2" t="s">
        <v>66</v>
      </c>
      <c r="D104" s="2" t="s">
        <v>90</v>
      </c>
      <c r="E104" s="2">
        <v>1200.0</v>
      </c>
      <c r="F104" s="4"/>
      <c r="G104" s="2" t="s">
        <v>18</v>
      </c>
      <c r="H104" s="4"/>
      <c r="I104" s="4"/>
      <c r="J104" s="2" t="s">
        <v>19</v>
      </c>
      <c r="K104" s="2" t="s">
        <v>20</v>
      </c>
      <c r="L104" s="4"/>
      <c r="M104" s="4"/>
    </row>
    <row r="105" ht="13.5" customHeight="1">
      <c r="A105" s="1">
        <v>104.0</v>
      </c>
      <c r="B105" s="2" t="s">
        <v>89</v>
      </c>
      <c r="C105" s="2" t="s">
        <v>66</v>
      </c>
      <c r="D105" s="2" t="s">
        <v>91</v>
      </c>
      <c r="E105" s="2">
        <v>1000.0</v>
      </c>
      <c r="F105" s="4"/>
      <c r="G105" s="2" t="s">
        <v>18</v>
      </c>
      <c r="H105" s="4"/>
      <c r="I105" s="4"/>
      <c r="J105" s="2" t="s">
        <v>19</v>
      </c>
      <c r="K105" s="2" t="s">
        <v>35</v>
      </c>
      <c r="L105" s="4"/>
      <c r="M105" s="4"/>
    </row>
    <row r="106" ht="13.5" customHeight="1">
      <c r="A106" s="1">
        <v>105.0</v>
      </c>
      <c r="B106" s="2" t="s">
        <v>89</v>
      </c>
      <c r="C106" s="2" t="s">
        <v>66</v>
      </c>
      <c r="D106" s="2" t="s">
        <v>92</v>
      </c>
      <c r="E106" s="2">
        <v>25000.0</v>
      </c>
      <c r="F106" s="4"/>
      <c r="G106" s="2" t="s">
        <v>18</v>
      </c>
      <c r="H106" s="4"/>
      <c r="I106" s="4"/>
      <c r="J106" s="2" t="s">
        <v>19</v>
      </c>
      <c r="K106" s="2" t="s">
        <v>20</v>
      </c>
      <c r="L106" s="4"/>
      <c r="M106" s="4"/>
    </row>
    <row r="107" ht="13.5" customHeight="1">
      <c r="A107" s="1">
        <v>106.0</v>
      </c>
      <c r="B107" s="2" t="s">
        <v>89</v>
      </c>
      <c r="C107" s="2" t="s">
        <v>66</v>
      </c>
      <c r="D107" s="2" t="s">
        <v>47</v>
      </c>
      <c r="E107" s="2">
        <v>32000.0</v>
      </c>
      <c r="F107" s="4"/>
      <c r="G107" s="2" t="s">
        <v>18</v>
      </c>
      <c r="H107" s="4"/>
      <c r="I107" s="4"/>
      <c r="J107" s="2" t="s">
        <v>19</v>
      </c>
      <c r="K107" s="2" t="s">
        <v>24</v>
      </c>
      <c r="L107" s="4"/>
      <c r="M107" s="4"/>
    </row>
    <row r="108" ht="13.5" customHeight="1">
      <c r="A108" s="1">
        <v>107.0</v>
      </c>
      <c r="B108" s="2" t="s">
        <v>89</v>
      </c>
      <c r="C108" s="2" t="s">
        <v>66</v>
      </c>
      <c r="D108" s="2" t="s">
        <v>59</v>
      </c>
      <c r="E108" s="2">
        <v>39000.0</v>
      </c>
      <c r="F108" s="4"/>
      <c r="G108" s="2" t="s">
        <v>18</v>
      </c>
      <c r="H108" s="4"/>
      <c r="I108" s="4"/>
      <c r="J108" s="2" t="s">
        <v>19</v>
      </c>
      <c r="K108" s="2" t="s">
        <v>24</v>
      </c>
      <c r="L108" s="4"/>
      <c r="M108" s="4"/>
    </row>
    <row r="109" ht="13.5" customHeight="1">
      <c r="A109" s="1">
        <v>108.0</v>
      </c>
      <c r="B109" s="2" t="s">
        <v>89</v>
      </c>
      <c r="C109" s="2" t="s">
        <v>66</v>
      </c>
      <c r="D109" s="2" t="s">
        <v>76</v>
      </c>
      <c r="E109" s="2">
        <v>36000.0</v>
      </c>
      <c r="F109" s="4"/>
      <c r="G109" s="2" t="s">
        <v>18</v>
      </c>
      <c r="H109" s="4"/>
      <c r="I109" s="4"/>
      <c r="J109" s="2" t="s">
        <v>19</v>
      </c>
      <c r="K109" s="2" t="s">
        <v>24</v>
      </c>
      <c r="L109" s="4"/>
      <c r="M109" s="4"/>
    </row>
    <row r="110" ht="13.5" customHeight="1">
      <c r="A110" s="1">
        <v>109.0</v>
      </c>
      <c r="B110" s="2" t="s">
        <v>89</v>
      </c>
      <c r="C110" s="2" t="s">
        <v>66</v>
      </c>
      <c r="D110" s="2" t="s">
        <v>27</v>
      </c>
      <c r="E110" s="2">
        <v>26000.0</v>
      </c>
      <c r="F110" s="4"/>
      <c r="G110" s="2" t="s">
        <v>18</v>
      </c>
      <c r="H110" s="4"/>
      <c r="I110" s="4"/>
      <c r="J110" s="2" t="s">
        <v>19</v>
      </c>
      <c r="K110" s="2" t="s">
        <v>24</v>
      </c>
      <c r="L110" s="4"/>
      <c r="M110" s="4"/>
    </row>
    <row r="111" ht="13.5" customHeight="1">
      <c r="A111" s="1">
        <v>110.0</v>
      </c>
      <c r="B111" s="2" t="s">
        <v>93</v>
      </c>
      <c r="C111" s="2" t="s">
        <v>66</v>
      </c>
      <c r="D111" s="2" t="s">
        <v>44</v>
      </c>
      <c r="E111" s="2">
        <v>10000.0</v>
      </c>
      <c r="F111" s="4"/>
      <c r="G111" s="2" t="s">
        <v>18</v>
      </c>
      <c r="H111" s="4"/>
      <c r="I111" s="4"/>
      <c r="J111" s="2" t="s">
        <v>19</v>
      </c>
      <c r="K111" s="2" t="s">
        <v>24</v>
      </c>
      <c r="L111" s="4"/>
      <c r="M111" s="4"/>
    </row>
    <row r="112" ht="13.5" customHeight="1">
      <c r="A112" s="1">
        <v>111.0</v>
      </c>
      <c r="B112" s="2" t="s">
        <v>94</v>
      </c>
      <c r="C112" s="2" t="s">
        <v>66</v>
      </c>
      <c r="D112" s="2" t="s">
        <v>70</v>
      </c>
      <c r="E112" s="2">
        <v>10000.0</v>
      </c>
      <c r="F112" s="4"/>
      <c r="G112" s="2" t="s">
        <v>18</v>
      </c>
      <c r="H112" s="4"/>
      <c r="I112" s="4"/>
      <c r="J112" s="2" t="s">
        <v>19</v>
      </c>
      <c r="K112" s="2" t="s">
        <v>24</v>
      </c>
      <c r="L112" s="4"/>
      <c r="M112" s="4"/>
    </row>
    <row r="113" ht="13.5" customHeight="1">
      <c r="A113" s="1">
        <v>112.0</v>
      </c>
      <c r="B113" s="2" t="s">
        <v>95</v>
      </c>
      <c r="C113" s="2" t="s">
        <v>30</v>
      </c>
      <c r="D113" s="2" t="s">
        <v>31</v>
      </c>
      <c r="E113" s="4"/>
      <c r="F113" s="2">
        <v>1700000.0</v>
      </c>
      <c r="G113" s="2" t="s">
        <v>32</v>
      </c>
      <c r="H113" s="4"/>
      <c r="I113" s="4"/>
      <c r="J113" s="2" t="s">
        <v>19</v>
      </c>
      <c r="K113" s="2" t="s">
        <v>33</v>
      </c>
      <c r="L113" s="4"/>
      <c r="M113" s="4"/>
    </row>
    <row r="114" ht="13.5" customHeight="1">
      <c r="A114" s="1">
        <v>113.0</v>
      </c>
      <c r="B114" s="2" t="s">
        <v>95</v>
      </c>
      <c r="C114" s="2" t="s">
        <v>66</v>
      </c>
      <c r="D114" s="2" t="s">
        <v>76</v>
      </c>
      <c r="E114" s="2">
        <v>36000.0</v>
      </c>
      <c r="F114" s="4"/>
      <c r="G114" s="2" t="s">
        <v>18</v>
      </c>
      <c r="H114" s="4"/>
      <c r="I114" s="4"/>
      <c r="J114" s="2" t="s">
        <v>19</v>
      </c>
      <c r="K114" s="2" t="s">
        <v>24</v>
      </c>
      <c r="L114" s="4"/>
      <c r="M114" s="4"/>
    </row>
    <row r="115" ht="13.5" customHeight="1">
      <c r="A115" s="1">
        <v>114.0</v>
      </c>
      <c r="B115" s="2" t="s">
        <v>95</v>
      </c>
      <c r="C115" s="2" t="s">
        <v>66</v>
      </c>
      <c r="D115" s="2" t="s">
        <v>55</v>
      </c>
      <c r="E115" s="2">
        <v>5000.0</v>
      </c>
      <c r="F115" s="4"/>
      <c r="G115" s="2" t="s">
        <v>18</v>
      </c>
      <c r="H115" s="4"/>
      <c r="I115" s="4"/>
      <c r="J115" s="2" t="s">
        <v>19</v>
      </c>
      <c r="K115" s="2" t="s">
        <v>24</v>
      </c>
      <c r="L115" s="4"/>
      <c r="M115" s="4"/>
    </row>
    <row r="116" ht="13.5" customHeight="1">
      <c r="A116" s="1">
        <v>115.0</v>
      </c>
      <c r="B116" s="2" t="s">
        <v>95</v>
      </c>
      <c r="C116" s="2" t="s">
        <v>66</v>
      </c>
      <c r="D116" s="2" t="s">
        <v>70</v>
      </c>
      <c r="E116" s="2">
        <v>10000.0</v>
      </c>
      <c r="F116" s="4"/>
      <c r="G116" s="2" t="s">
        <v>18</v>
      </c>
      <c r="H116" s="4"/>
      <c r="I116" s="4"/>
      <c r="J116" s="2" t="s">
        <v>19</v>
      </c>
      <c r="K116" s="2" t="s">
        <v>24</v>
      </c>
      <c r="L116" s="4"/>
      <c r="M116" s="4"/>
    </row>
    <row r="117" ht="13.5" customHeight="1">
      <c r="A117" s="1">
        <v>116.0</v>
      </c>
      <c r="B117" s="2" t="s">
        <v>96</v>
      </c>
      <c r="C117" s="2" t="s">
        <v>66</v>
      </c>
      <c r="D117" s="2" t="s">
        <v>76</v>
      </c>
      <c r="E117" s="2">
        <v>22000.0</v>
      </c>
      <c r="F117" s="4"/>
      <c r="G117" s="2" t="s">
        <v>18</v>
      </c>
      <c r="H117" s="4"/>
      <c r="I117" s="4"/>
      <c r="J117" s="2" t="s">
        <v>19</v>
      </c>
      <c r="K117" s="2" t="s">
        <v>24</v>
      </c>
      <c r="L117" s="4"/>
      <c r="M117" s="4"/>
    </row>
    <row r="118" ht="13.5" customHeight="1">
      <c r="A118" s="1">
        <v>117.0</v>
      </c>
      <c r="B118" s="2" t="s">
        <v>96</v>
      </c>
      <c r="C118" s="2" t="s">
        <v>66</v>
      </c>
      <c r="D118" s="2" t="s">
        <v>59</v>
      </c>
      <c r="E118" s="2">
        <v>39000.0</v>
      </c>
      <c r="F118" s="4"/>
      <c r="G118" s="2" t="s">
        <v>18</v>
      </c>
      <c r="H118" s="4"/>
      <c r="I118" s="4"/>
      <c r="J118" s="2" t="s">
        <v>19</v>
      </c>
      <c r="K118" s="2" t="s">
        <v>24</v>
      </c>
      <c r="L118" s="4"/>
      <c r="M118" s="4"/>
    </row>
    <row r="119" ht="13.5" customHeight="1">
      <c r="A119" s="1">
        <v>118.0</v>
      </c>
      <c r="B119" s="2" t="s">
        <v>96</v>
      </c>
      <c r="C119" s="2" t="s">
        <v>66</v>
      </c>
      <c r="D119" s="2" t="s">
        <v>17</v>
      </c>
      <c r="E119" s="2">
        <v>2500.0</v>
      </c>
      <c r="F119" s="4"/>
      <c r="G119" s="2" t="s">
        <v>18</v>
      </c>
      <c r="H119" s="4"/>
      <c r="I119" s="4"/>
      <c r="J119" s="2" t="s">
        <v>19</v>
      </c>
      <c r="K119" s="2" t="s">
        <v>20</v>
      </c>
      <c r="L119" s="4"/>
      <c r="M119" s="4"/>
    </row>
    <row r="120" ht="13.5" customHeight="1">
      <c r="A120" s="1">
        <v>119.0</v>
      </c>
      <c r="B120" s="2" t="s">
        <v>96</v>
      </c>
      <c r="C120" s="2" t="s">
        <v>66</v>
      </c>
      <c r="D120" s="2" t="s">
        <v>47</v>
      </c>
      <c r="E120" s="2">
        <v>161100.0</v>
      </c>
      <c r="F120" s="4"/>
      <c r="G120" s="2" t="s">
        <v>18</v>
      </c>
      <c r="H120" s="4"/>
      <c r="I120" s="4"/>
      <c r="J120" s="2" t="s">
        <v>19</v>
      </c>
      <c r="K120" s="2" t="s">
        <v>20</v>
      </c>
      <c r="L120" s="4"/>
      <c r="M120" s="4"/>
    </row>
    <row r="121" ht="13.5" customHeight="1">
      <c r="A121" s="1">
        <v>120.0</v>
      </c>
      <c r="B121" s="2" t="s">
        <v>96</v>
      </c>
      <c r="C121" s="2" t="s">
        <v>25</v>
      </c>
      <c r="D121" s="2" t="s">
        <v>77</v>
      </c>
      <c r="E121" s="2">
        <v>8000.0</v>
      </c>
      <c r="F121" s="4"/>
      <c r="G121" s="2" t="s">
        <v>18</v>
      </c>
      <c r="H121" s="4"/>
      <c r="I121" s="4"/>
      <c r="J121" s="2" t="s">
        <v>19</v>
      </c>
      <c r="K121" s="2" t="s">
        <v>35</v>
      </c>
      <c r="L121" s="4"/>
      <c r="M121" s="4"/>
    </row>
    <row r="122" ht="13.5" customHeight="1">
      <c r="A122" s="1">
        <v>121.0</v>
      </c>
      <c r="B122" s="2" t="s">
        <v>96</v>
      </c>
      <c r="C122" s="2" t="s">
        <v>66</v>
      </c>
      <c r="D122" s="2" t="s">
        <v>97</v>
      </c>
      <c r="E122" s="2">
        <v>28000.0</v>
      </c>
      <c r="F122" s="4"/>
      <c r="G122" s="2" t="s">
        <v>18</v>
      </c>
      <c r="H122" s="4"/>
      <c r="I122" s="4"/>
      <c r="J122" s="2" t="s">
        <v>19</v>
      </c>
      <c r="K122" s="2" t="s">
        <v>20</v>
      </c>
      <c r="L122" s="4"/>
      <c r="M122" s="4"/>
    </row>
    <row r="123" ht="13.5" customHeight="1">
      <c r="A123" s="1">
        <v>122.0</v>
      </c>
      <c r="B123" s="2" t="s">
        <v>96</v>
      </c>
      <c r="C123" s="2" t="s">
        <v>66</v>
      </c>
      <c r="D123" s="2" t="s">
        <v>70</v>
      </c>
      <c r="E123" s="2">
        <v>10000.0</v>
      </c>
      <c r="F123" s="4"/>
      <c r="G123" s="2" t="s">
        <v>18</v>
      </c>
      <c r="H123" s="4"/>
      <c r="I123" s="4"/>
      <c r="J123" s="2" t="s">
        <v>19</v>
      </c>
      <c r="K123" s="2" t="s">
        <v>24</v>
      </c>
      <c r="L123" s="4"/>
      <c r="M123" s="4"/>
    </row>
    <row r="124" ht="13.5" customHeight="1">
      <c r="A124" s="1">
        <v>123.0</v>
      </c>
      <c r="B124" s="2" t="s">
        <v>98</v>
      </c>
      <c r="C124" s="2" t="s">
        <v>66</v>
      </c>
      <c r="D124" s="2" t="s">
        <v>59</v>
      </c>
      <c r="E124" s="2">
        <v>39000.0</v>
      </c>
      <c r="F124" s="4"/>
      <c r="G124" s="2" t="s">
        <v>18</v>
      </c>
      <c r="H124" s="4"/>
      <c r="I124" s="4"/>
      <c r="J124" s="2" t="s">
        <v>19</v>
      </c>
      <c r="K124" s="2" t="s">
        <v>24</v>
      </c>
      <c r="L124" s="4"/>
      <c r="M124" s="4"/>
    </row>
    <row r="125" ht="13.5" customHeight="1">
      <c r="A125" s="1">
        <v>124.0</v>
      </c>
      <c r="B125" s="2" t="s">
        <v>98</v>
      </c>
      <c r="C125" s="2" t="s">
        <v>66</v>
      </c>
      <c r="D125" s="2" t="s">
        <v>76</v>
      </c>
      <c r="E125" s="2">
        <v>72000.0</v>
      </c>
      <c r="F125" s="4"/>
      <c r="G125" s="2" t="s">
        <v>18</v>
      </c>
      <c r="H125" s="4"/>
      <c r="I125" s="4"/>
      <c r="J125" s="2" t="s">
        <v>19</v>
      </c>
      <c r="K125" s="2" t="s">
        <v>24</v>
      </c>
      <c r="L125" s="4"/>
      <c r="M125" s="4"/>
    </row>
    <row r="126" ht="13.5" customHeight="1">
      <c r="A126" s="1">
        <v>125.0</v>
      </c>
      <c r="B126" s="2" t="s">
        <v>98</v>
      </c>
      <c r="C126" s="2" t="s">
        <v>66</v>
      </c>
      <c r="D126" s="2" t="s">
        <v>27</v>
      </c>
      <c r="E126" s="2">
        <v>10000.0</v>
      </c>
      <c r="F126" s="4"/>
      <c r="G126" s="2" t="s">
        <v>18</v>
      </c>
      <c r="H126" s="4"/>
      <c r="I126" s="4"/>
      <c r="J126" s="2" t="s">
        <v>19</v>
      </c>
      <c r="K126" s="2" t="s">
        <v>24</v>
      </c>
      <c r="L126" s="4"/>
      <c r="M126" s="4"/>
    </row>
    <row r="127" ht="13.5" customHeight="1">
      <c r="A127" s="1">
        <v>126.0</v>
      </c>
      <c r="B127" s="2" t="s">
        <v>98</v>
      </c>
      <c r="C127" s="2" t="s">
        <v>66</v>
      </c>
      <c r="D127" s="2" t="s">
        <v>99</v>
      </c>
      <c r="E127" s="2">
        <v>30000.0</v>
      </c>
      <c r="F127" s="4"/>
      <c r="G127" s="2" t="s">
        <v>18</v>
      </c>
      <c r="H127" s="4"/>
      <c r="I127" s="4"/>
      <c r="J127" s="2" t="s">
        <v>19</v>
      </c>
      <c r="K127" s="2" t="s">
        <v>24</v>
      </c>
      <c r="L127" s="4"/>
      <c r="M127" s="4"/>
    </row>
    <row r="128" ht="13.5" customHeight="1">
      <c r="A128" s="1">
        <v>127.0</v>
      </c>
      <c r="B128" s="2" t="s">
        <v>98</v>
      </c>
      <c r="C128" s="2" t="s">
        <v>66</v>
      </c>
      <c r="D128" s="2" t="s">
        <v>21</v>
      </c>
      <c r="E128" s="2">
        <v>10500.0</v>
      </c>
      <c r="F128" s="4"/>
      <c r="G128" s="2" t="s">
        <v>18</v>
      </c>
      <c r="H128" s="4"/>
      <c r="I128" s="4"/>
      <c r="J128" s="2" t="s">
        <v>19</v>
      </c>
      <c r="K128" s="2" t="s">
        <v>20</v>
      </c>
      <c r="L128" s="4"/>
      <c r="M128" s="4"/>
    </row>
    <row r="129" ht="13.5" customHeight="1">
      <c r="A129" s="1">
        <v>128.0</v>
      </c>
      <c r="B129" s="2" t="s">
        <v>98</v>
      </c>
      <c r="C129" s="2" t="s">
        <v>66</v>
      </c>
      <c r="D129" s="2" t="s">
        <v>100</v>
      </c>
      <c r="E129" s="2">
        <v>2200.0</v>
      </c>
      <c r="F129" s="4"/>
      <c r="G129" s="2" t="s">
        <v>18</v>
      </c>
      <c r="H129" s="4"/>
      <c r="I129" s="4"/>
      <c r="J129" s="2" t="s">
        <v>19</v>
      </c>
      <c r="K129" s="2" t="s">
        <v>20</v>
      </c>
      <c r="L129" s="4"/>
      <c r="M129" s="4"/>
    </row>
    <row r="130" ht="13.5" customHeight="1">
      <c r="A130" s="1">
        <v>129.0</v>
      </c>
      <c r="B130" s="2" t="s">
        <v>98</v>
      </c>
      <c r="C130" s="2" t="s">
        <v>66</v>
      </c>
      <c r="D130" s="2" t="s">
        <v>101</v>
      </c>
      <c r="E130" s="2">
        <v>75000.0</v>
      </c>
      <c r="F130" s="4"/>
      <c r="G130" s="2" t="s">
        <v>18</v>
      </c>
      <c r="H130" s="4"/>
      <c r="I130" s="4"/>
      <c r="J130" s="2" t="s">
        <v>19</v>
      </c>
      <c r="K130" s="2" t="s">
        <v>20</v>
      </c>
      <c r="L130" s="4"/>
      <c r="M130" s="4"/>
    </row>
    <row r="131" ht="13.5" customHeight="1">
      <c r="A131" s="1">
        <v>130.0</v>
      </c>
      <c r="B131" s="2" t="s">
        <v>98</v>
      </c>
      <c r="C131" s="2" t="s">
        <v>66</v>
      </c>
      <c r="D131" s="2" t="s">
        <v>47</v>
      </c>
      <c r="E131" s="2">
        <v>297000.0</v>
      </c>
      <c r="F131" s="4"/>
      <c r="G131" s="2" t="s">
        <v>18</v>
      </c>
      <c r="H131" s="4"/>
      <c r="I131" s="4"/>
      <c r="J131" s="2" t="s">
        <v>19</v>
      </c>
      <c r="K131" s="2" t="s">
        <v>20</v>
      </c>
      <c r="L131" s="4"/>
      <c r="M131" s="4"/>
    </row>
    <row r="132" ht="13.5" customHeight="1">
      <c r="A132" s="1">
        <v>131.0</v>
      </c>
      <c r="B132" s="2" t="s">
        <v>98</v>
      </c>
      <c r="C132" s="2" t="s">
        <v>25</v>
      </c>
      <c r="D132" s="2" t="s">
        <v>102</v>
      </c>
      <c r="E132" s="2">
        <v>72000.0</v>
      </c>
      <c r="F132" s="4"/>
      <c r="G132" s="2" t="s">
        <v>18</v>
      </c>
      <c r="H132" s="4"/>
      <c r="I132" s="4"/>
      <c r="J132" s="2" t="s">
        <v>19</v>
      </c>
      <c r="K132" s="2" t="s">
        <v>20</v>
      </c>
      <c r="L132" s="4"/>
      <c r="M132" s="4"/>
    </row>
    <row r="133" ht="13.5" customHeight="1">
      <c r="A133" s="1">
        <v>132.0</v>
      </c>
      <c r="B133" s="2" t="s">
        <v>98</v>
      </c>
      <c r="C133" s="2" t="s">
        <v>66</v>
      </c>
      <c r="D133" s="2" t="s">
        <v>92</v>
      </c>
      <c r="E133" s="2">
        <v>8000.0</v>
      </c>
      <c r="F133" s="4"/>
      <c r="G133" s="2" t="s">
        <v>18</v>
      </c>
      <c r="H133" s="4"/>
      <c r="I133" s="4"/>
      <c r="J133" s="2" t="s">
        <v>19</v>
      </c>
      <c r="K133" s="2" t="s">
        <v>35</v>
      </c>
      <c r="L133" s="4"/>
      <c r="M133" s="4"/>
    </row>
    <row r="134" ht="13.5" customHeight="1">
      <c r="A134" s="1">
        <v>133.0</v>
      </c>
      <c r="B134" s="2" t="s">
        <v>98</v>
      </c>
      <c r="C134" s="2" t="s">
        <v>66</v>
      </c>
      <c r="D134" s="2" t="s">
        <v>70</v>
      </c>
      <c r="E134" s="2">
        <v>10000.0</v>
      </c>
      <c r="F134" s="4"/>
      <c r="G134" s="2" t="s">
        <v>18</v>
      </c>
      <c r="H134" s="4"/>
      <c r="I134" s="4"/>
      <c r="J134" s="2" t="s">
        <v>19</v>
      </c>
      <c r="K134" s="2" t="s">
        <v>24</v>
      </c>
      <c r="L134" s="4"/>
      <c r="M134" s="4"/>
    </row>
    <row r="135" ht="13.5" customHeight="1">
      <c r="A135" s="1">
        <v>134.0</v>
      </c>
      <c r="B135" s="2" t="s">
        <v>98</v>
      </c>
      <c r="C135" s="2" t="s">
        <v>66</v>
      </c>
      <c r="D135" s="2" t="s">
        <v>103</v>
      </c>
      <c r="E135" s="2">
        <v>17000.0</v>
      </c>
      <c r="F135" s="4"/>
      <c r="G135" s="2" t="s">
        <v>18</v>
      </c>
      <c r="H135" s="4"/>
      <c r="I135" s="4"/>
      <c r="J135" s="2" t="s">
        <v>19</v>
      </c>
      <c r="K135" s="2" t="s">
        <v>39</v>
      </c>
      <c r="L135" s="4"/>
      <c r="M135" s="4"/>
    </row>
    <row r="136" ht="13.5" customHeight="1">
      <c r="A136" s="1">
        <v>135.0</v>
      </c>
      <c r="B136" s="2" t="s">
        <v>104</v>
      </c>
      <c r="C136" s="2" t="s">
        <v>66</v>
      </c>
      <c r="D136" s="2" t="s">
        <v>76</v>
      </c>
      <c r="E136" s="2">
        <v>480000.0</v>
      </c>
      <c r="F136" s="4"/>
      <c r="G136" s="2" t="s">
        <v>18</v>
      </c>
      <c r="H136" s="4"/>
      <c r="I136" s="4"/>
      <c r="J136" s="2" t="s">
        <v>19</v>
      </c>
      <c r="K136" s="2" t="s">
        <v>24</v>
      </c>
      <c r="L136" s="4"/>
      <c r="M136" s="4"/>
    </row>
    <row r="137" ht="13.5" customHeight="1">
      <c r="A137" s="1">
        <v>136.0</v>
      </c>
      <c r="B137" s="2" t="s">
        <v>104</v>
      </c>
      <c r="C137" s="2" t="s">
        <v>66</v>
      </c>
      <c r="D137" s="2" t="s">
        <v>44</v>
      </c>
      <c r="E137" s="2">
        <v>15000.0</v>
      </c>
      <c r="F137" s="4"/>
      <c r="G137" s="2" t="s">
        <v>18</v>
      </c>
      <c r="H137" s="4"/>
      <c r="I137" s="4"/>
      <c r="J137" s="2" t="s">
        <v>19</v>
      </c>
      <c r="K137" s="2" t="s">
        <v>24</v>
      </c>
      <c r="L137" s="4"/>
      <c r="M137" s="4"/>
    </row>
    <row r="138" ht="13.5" customHeight="1">
      <c r="A138" s="1">
        <v>137.0</v>
      </c>
      <c r="B138" s="2" t="s">
        <v>104</v>
      </c>
      <c r="C138" s="2" t="s">
        <v>66</v>
      </c>
      <c r="D138" s="2" t="s">
        <v>27</v>
      </c>
      <c r="E138" s="2">
        <v>50000.0</v>
      </c>
      <c r="F138" s="4"/>
      <c r="G138" s="2" t="s">
        <v>18</v>
      </c>
      <c r="H138" s="4"/>
      <c r="I138" s="4"/>
      <c r="J138" s="2" t="s">
        <v>19</v>
      </c>
      <c r="K138" s="2" t="s">
        <v>24</v>
      </c>
      <c r="L138" s="4"/>
      <c r="M138" s="4"/>
    </row>
    <row r="139" ht="13.5" customHeight="1">
      <c r="A139" s="1">
        <v>138.0</v>
      </c>
      <c r="B139" s="2" t="s">
        <v>104</v>
      </c>
      <c r="C139" s="2" t="s">
        <v>66</v>
      </c>
      <c r="D139" s="2" t="s">
        <v>70</v>
      </c>
      <c r="E139" s="2">
        <v>10000.0</v>
      </c>
      <c r="F139" s="4"/>
      <c r="G139" s="2" t="s">
        <v>18</v>
      </c>
      <c r="H139" s="4"/>
      <c r="I139" s="4"/>
      <c r="J139" s="2" t="s">
        <v>19</v>
      </c>
      <c r="K139" s="2" t="s">
        <v>24</v>
      </c>
      <c r="L139" s="4"/>
      <c r="M139" s="4"/>
    </row>
    <row r="140" ht="13.5" customHeight="1">
      <c r="A140" s="1">
        <v>139.0</v>
      </c>
      <c r="B140" s="2" t="s">
        <v>104</v>
      </c>
      <c r="C140" s="2" t="s">
        <v>66</v>
      </c>
      <c r="D140" s="2" t="s">
        <v>100</v>
      </c>
      <c r="E140" s="2">
        <v>2500.0</v>
      </c>
      <c r="F140" s="4"/>
      <c r="G140" s="2" t="s">
        <v>18</v>
      </c>
      <c r="H140" s="4"/>
      <c r="I140" s="4"/>
      <c r="J140" s="2" t="s">
        <v>19</v>
      </c>
      <c r="K140" s="2" t="s">
        <v>20</v>
      </c>
      <c r="L140" s="4"/>
      <c r="M140" s="4"/>
    </row>
    <row r="141" ht="13.5" customHeight="1">
      <c r="A141" s="1">
        <v>140.0</v>
      </c>
      <c r="B141" s="2" t="s">
        <v>104</v>
      </c>
      <c r="C141" s="2" t="s">
        <v>22</v>
      </c>
      <c r="D141" s="2" t="s">
        <v>23</v>
      </c>
      <c r="E141" s="2">
        <v>50000.0</v>
      </c>
      <c r="F141" s="4"/>
      <c r="G141" s="2" t="s">
        <v>18</v>
      </c>
      <c r="H141" s="4"/>
      <c r="I141" s="4"/>
      <c r="J141" s="2" t="s">
        <v>19</v>
      </c>
      <c r="K141" s="2" t="s">
        <v>24</v>
      </c>
      <c r="L141" s="4"/>
      <c r="M141" s="4"/>
    </row>
    <row r="142" ht="13.5" customHeight="1">
      <c r="A142" s="1">
        <v>141.0</v>
      </c>
      <c r="B142" s="2" t="s">
        <v>104</v>
      </c>
      <c r="C142" s="2" t="s">
        <v>66</v>
      </c>
      <c r="D142" s="2" t="s">
        <v>76</v>
      </c>
      <c r="E142" s="2">
        <v>36000.0</v>
      </c>
      <c r="F142" s="4"/>
      <c r="G142" s="2" t="s">
        <v>18</v>
      </c>
      <c r="H142" s="4"/>
      <c r="I142" s="4"/>
      <c r="J142" s="2" t="s">
        <v>19</v>
      </c>
      <c r="K142" s="2" t="s">
        <v>24</v>
      </c>
      <c r="L142" s="4"/>
      <c r="M142" s="4"/>
    </row>
    <row r="143" ht="13.5" customHeight="1">
      <c r="A143" s="1">
        <v>142.0</v>
      </c>
      <c r="B143" s="2" t="s">
        <v>105</v>
      </c>
      <c r="C143" s="2" t="s">
        <v>66</v>
      </c>
      <c r="D143" s="2" t="s">
        <v>55</v>
      </c>
      <c r="E143" s="2">
        <v>5000.0</v>
      </c>
      <c r="F143" s="4"/>
      <c r="G143" s="2" t="s">
        <v>18</v>
      </c>
      <c r="H143" s="4"/>
      <c r="I143" s="4"/>
      <c r="J143" s="2" t="s">
        <v>19</v>
      </c>
      <c r="K143" s="2" t="s">
        <v>24</v>
      </c>
      <c r="L143" s="4"/>
      <c r="M143" s="4"/>
    </row>
    <row r="144" ht="13.5" customHeight="1">
      <c r="A144" s="1">
        <v>143.0</v>
      </c>
      <c r="B144" s="2" t="s">
        <v>105</v>
      </c>
      <c r="C144" s="2" t="s">
        <v>66</v>
      </c>
      <c r="D144" s="2" t="s">
        <v>70</v>
      </c>
      <c r="E144" s="2">
        <v>10000.0</v>
      </c>
      <c r="F144" s="4"/>
      <c r="G144" s="2" t="s">
        <v>18</v>
      </c>
      <c r="H144" s="4"/>
      <c r="I144" s="4"/>
      <c r="J144" s="2" t="s">
        <v>19</v>
      </c>
      <c r="K144" s="2" t="s">
        <v>24</v>
      </c>
      <c r="L144" s="4"/>
      <c r="M144" s="4"/>
    </row>
    <row r="145" ht="13.5" customHeight="1">
      <c r="A145" s="1">
        <v>144.0</v>
      </c>
      <c r="B145" s="2" t="s">
        <v>106</v>
      </c>
      <c r="C145" s="2" t="s">
        <v>66</v>
      </c>
      <c r="D145" s="2" t="s">
        <v>85</v>
      </c>
      <c r="E145" s="2">
        <v>50000.0</v>
      </c>
      <c r="F145" s="4"/>
      <c r="G145" s="2" t="s">
        <v>18</v>
      </c>
      <c r="H145" s="4"/>
      <c r="I145" s="4"/>
      <c r="J145" s="2" t="s">
        <v>19</v>
      </c>
      <c r="K145" s="2" t="s">
        <v>24</v>
      </c>
      <c r="L145" s="4"/>
      <c r="M145" s="4"/>
    </row>
    <row r="146" ht="13.5" customHeight="1">
      <c r="A146" s="1">
        <v>145.0</v>
      </c>
      <c r="B146" s="2" t="s">
        <v>106</v>
      </c>
      <c r="C146" s="2" t="s">
        <v>66</v>
      </c>
      <c r="D146" s="2" t="s">
        <v>86</v>
      </c>
      <c r="E146" s="2">
        <v>4000.0</v>
      </c>
      <c r="F146" s="4"/>
      <c r="G146" s="2" t="s">
        <v>18</v>
      </c>
      <c r="H146" s="4"/>
      <c r="I146" s="4"/>
      <c r="J146" s="2" t="s">
        <v>19</v>
      </c>
      <c r="K146" s="2" t="s">
        <v>20</v>
      </c>
      <c r="L146" s="4"/>
      <c r="M146" s="4"/>
    </row>
    <row r="147" ht="13.5" customHeight="1">
      <c r="A147" s="1">
        <v>146.0</v>
      </c>
      <c r="B147" s="2" t="s">
        <v>106</v>
      </c>
      <c r="C147" s="2" t="s">
        <v>66</v>
      </c>
      <c r="D147" s="2" t="s">
        <v>27</v>
      </c>
      <c r="E147" s="2">
        <v>10000.0</v>
      </c>
      <c r="F147" s="4"/>
      <c r="G147" s="2" t="s">
        <v>18</v>
      </c>
      <c r="H147" s="4"/>
      <c r="I147" s="4"/>
      <c r="J147" s="2" t="s">
        <v>19</v>
      </c>
      <c r="K147" s="2" t="s">
        <v>24</v>
      </c>
      <c r="L147" s="4"/>
      <c r="M147" s="4"/>
    </row>
    <row r="148" ht="13.5" customHeight="1">
      <c r="A148" s="1">
        <v>147.0</v>
      </c>
      <c r="B148" s="2" t="s">
        <v>106</v>
      </c>
      <c r="C148" s="2" t="s">
        <v>66</v>
      </c>
      <c r="D148" s="2" t="s">
        <v>70</v>
      </c>
      <c r="E148" s="2">
        <v>10000.0</v>
      </c>
      <c r="F148" s="4"/>
      <c r="G148" s="2" t="s">
        <v>18</v>
      </c>
      <c r="H148" s="4"/>
      <c r="I148" s="4"/>
      <c r="J148" s="2" t="s">
        <v>19</v>
      </c>
      <c r="K148" s="2" t="s">
        <v>24</v>
      </c>
      <c r="L148" s="4"/>
      <c r="M148" s="4"/>
    </row>
    <row r="149" ht="13.5" customHeight="1">
      <c r="A149" s="1">
        <v>148.0</v>
      </c>
      <c r="B149" s="2" t="s">
        <v>107</v>
      </c>
      <c r="C149" s="2" t="s">
        <v>66</v>
      </c>
      <c r="D149" s="2" t="s">
        <v>76</v>
      </c>
      <c r="E149" s="2">
        <v>72000.0</v>
      </c>
      <c r="F149" s="4"/>
      <c r="G149" s="2" t="s">
        <v>18</v>
      </c>
      <c r="H149" s="4"/>
      <c r="I149" s="4"/>
      <c r="J149" s="2" t="s">
        <v>19</v>
      </c>
      <c r="K149" s="2" t="s">
        <v>24</v>
      </c>
      <c r="L149" s="4"/>
      <c r="M149" s="4"/>
    </row>
    <row r="150" ht="13.5" customHeight="1">
      <c r="A150" s="1">
        <v>149.0</v>
      </c>
      <c r="B150" s="2" t="s">
        <v>107</v>
      </c>
      <c r="C150" s="2" t="s">
        <v>66</v>
      </c>
      <c r="D150" s="2" t="s">
        <v>55</v>
      </c>
      <c r="E150" s="2">
        <v>5000.0</v>
      </c>
      <c r="F150" s="4"/>
      <c r="G150" s="2" t="s">
        <v>18</v>
      </c>
      <c r="H150" s="4"/>
      <c r="I150" s="4"/>
      <c r="J150" s="2" t="s">
        <v>19</v>
      </c>
      <c r="K150" s="2" t="s">
        <v>24</v>
      </c>
      <c r="L150" s="4"/>
      <c r="M150" s="4"/>
    </row>
    <row r="151" ht="13.5" customHeight="1">
      <c r="A151" s="1">
        <v>150.0</v>
      </c>
      <c r="B151" s="2" t="s">
        <v>107</v>
      </c>
      <c r="C151" s="2" t="s">
        <v>25</v>
      </c>
      <c r="D151" s="2" t="s">
        <v>77</v>
      </c>
      <c r="E151" s="2">
        <v>10000.0</v>
      </c>
      <c r="F151" s="4"/>
      <c r="G151" s="2" t="s">
        <v>18</v>
      </c>
      <c r="H151" s="4"/>
      <c r="I151" s="4"/>
      <c r="J151" s="2" t="s">
        <v>19</v>
      </c>
      <c r="K151" s="2" t="s">
        <v>35</v>
      </c>
      <c r="L151" s="4"/>
      <c r="M151" s="4"/>
    </row>
    <row r="152" ht="13.5" customHeight="1">
      <c r="A152" s="1">
        <v>151.0</v>
      </c>
      <c r="B152" s="2" t="s">
        <v>107</v>
      </c>
      <c r="C152" s="2" t="s">
        <v>66</v>
      </c>
      <c r="D152" s="2" t="s">
        <v>21</v>
      </c>
      <c r="E152" s="2">
        <v>152000.0</v>
      </c>
      <c r="F152" s="4"/>
      <c r="G152" s="2" t="s">
        <v>18</v>
      </c>
      <c r="H152" s="4"/>
      <c r="I152" s="4"/>
      <c r="J152" s="2" t="s">
        <v>19</v>
      </c>
      <c r="K152" s="2" t="s">
        <v>20</v>
      </c>
      <c r="L152" s="4"/>
      <c r="M152" s="4"/>
    </row>
    <row r="153" ht="13.5" customHeight="1">
      <c r="A153" s="1">
        <v>152.0</v>
      </c>
      <c r="B153" s="2" t="s">
        <v>107</v>
      </c>
      <c r="C153" s="2" t="s">
        <v>25</v>
      </c>
      <c r="D153" s="2" t="s">
        <v>108</v>
      </c>
      <c r="E153" s="2">
        <v>6000.0</v>
      </c>
      <c r="F153" s="4"/>
      <c r="G153" s="2" t="s">
        <v>18</v>
      </c>
      <c r="H153" s="4"/>
      <c r="I153" s="4"/>
      <c r="J153" s="2" t="s">
        <v>19</v>
      </c>
      <c r="K153" s="2" t="s">
        <v>35</v>
      </c>
      <c r="L153" s="4"/>
      <c r="M153" s="4"/>
    </row>
    <row r="154" ht="13.5" customHeight="1">
      <c r="A154" s="1">
        <v>153.0</v>
      </c>
      <c r="B154" s="2" t="s">
        <v>107</v>
      </c>
      <c r="C154" s="2" t="s">
        <v>66</v>
      </c>
      <c r="D154" s="2" t="s">
        <v>70</v>
      </c>
      <c r="E154" s="2">
        <v>10000.0</v>
      </c>
      <c r="F154" s="4"/>
      <c r="G154" s="2" t="s">
        <v>18</v>
      </c>
      <c r="H154" s="4"/>
      <c r="I154" s="4"/>
      <c r="J154" s="2" t="s">
        <v>19</v>
      </c>
      <c r="K154" s="2" t="s">
        <v>24</v>
      </c>
      <c r="L154" s="4"/>
      <c r="M154" s="4"/>
    </row>
    <row r="155" ht="13.5" customHeight="1">
      <c r="A155" s="1">
        <v>154.0</v>
      </c>
      <c r="B155" s="6">
        <v>46023.0</v>
      </c>
      <c r="C155" s="2" t="s">
        <v>66</v>
      </c>
      <c r="D155" s="2" t="s">
        <v>76</v>
      </c>
      <c r="E155" s="2">
        <v>72000.0</v>
      </c>
      <c r="F155" s="4"/>
      <c r="G155" s="2" t="s">
        <v>18</v>
      </c>
      <c r="H155" s="4"/>
      <c r="I155" s="4"/>
      <c r="J155" s="2" t="s">
        <v>19</v>
      </c>
      <c r="K155" s="2" t="s">
        <v>24</v>
      </c>
      <c r="L155" s="4"/>
      <c r="M155" s="4"/>
    </row>
    <row r="156" ht="13.5" customHeight="1">
      <c r="A156" s="1">
        <v>155.0</v>
      </c>
      <c r="B156" s="6">
        <v>46023.0</v>
      </c>
      <c r="C156" s="2" t="s">
        <v>66</v>
      </c>
      <c r="D156" s="2" t="s">
        <v>55</v>
      </c>
      <c r="E156" s="2">
        <v>5000.0</v>
      </c>
      <c r="F156" s="4"/>
      <c r="G156" s="2" t="s">
        <v>18</v>
      </c>
      <c r="H156" s="4"/>
      <c r="I156" s="4"/>
      <c r="J156" s="2" t="s">
        <v>19</v>
      </c>
      <c r="K156" s="2" t="s">
        <v>24</v>
      </c>
      <c r="L156" s="4"/>
      <c r="M156" s="4"/>
    </row>
    <row r="157" ht="13.5" customHeight="1">
      <c r="A157" s="1">
        <v>156.0</v>
      </c>
      <c r="B157" s="6">
        <v>46023.0</v>
      </c>
      <c r="C157" s="2" t="s">
        <v>66</v>
      </c>
      <c r="D157" s="2" t="s">
        <v>109</v>
      </c>
      <c r="E157" s="2">
        <v>9000.0</v>
      </c>
      <c r="F157" s="4"/>
      <c r="G157" s="2" t="s">
        <v>18</v>
      </c>
      <c r="H157" s="4"/>
      <c r="I157" s="4"/>
      <c r="J157" s="2" t="s">
        <v>19</v>
      </c>
      <c r="K157" s="2" t="s">
        <v>20</v>
      </c>
      <c r="L157" s="4"/>
      <c r="M157" s="4"/>
    </row>
    <row r="158" ht="13.5" customHeight="1">
      <c r="A158" s="1">
        <v>157.0</v>
      </c>
      <c r="B158" s="6">
        <v>46023.0</v>
      </c>
      <c r="C158" s="2" t="s">
        <v>66</v>
      </c>
      <c r="D158" s="2" t="s">
        <v>110</v>
      </c>
      <c r="E158" s="2">
        <v>2500.0</v>
      </c>
      <c r="F158" s="4"/>
      <c r="G158" s="2" t="s">
        <v>18</v>
      </c>
      <c r="H158" s="4"/>
      <c r="I158" s="4"/>
      <c r="J158" s="2" t="s">
        <v>19</v>
      </c>
      <c r="K158" s="2" t="s">
        <v>35</v>
      </c>
      <c r="L158" s="4"/>
      <c r="M158" s="4"/>
    </row>
    <row r="159" ht="13.5" customHeight="1">
      <c r="A159" s="1">
        <v>158.0</v>
      </c>
      <c r="B159" s="6">
        <v>46023.0</v>
      </c>
      <c r="C159" s="2" t="s">
        <v>25</v>
      </c>
      <c r="D159" s="2" t="s">
        <v>111</v>
      </c>
      <c r="E159" s="2">
        <v>2000.0</v>
      </c>
      <c r="F159" s="4"/>
      <c r="G159" s="2" t="s">
        <v>18</v>
      </c>
      <c r="H159" s="4"/>
      <c r="I159" s="4"/>
      <c r="J159" s="2" t="s">
        <v>19</v>
      </c>
      <c r="K159" s="2" t="s">
        <v>24</v>
      </c>
      <c r="L159" s="4"/>
      <c r="M159" s="4"/>
    </row>
    <row r="160" ht="13.5" customHeight="1">
      <c r="A160" s="1">
        <v>159.0</v>
      </c>
      <c r="B160" s="6">
        <v>46023.0</v>
      </c>
      <c r="C160" s="2" t="s">
        <v>66</v>
      </c>
      <c r="D160" s="2" t="s">
        <v>70</v>
      </c>
      <c r="E160" s="2">
        <v>10000.0</v>
      </c>
      <c r="F160" s="4"/>
      <c r="G160" s="2" t="s">
        <v>18</v>
      </c>
      <c r="H160" s="4"/>
      <c r="I160" s="4"/>
      <c r="J160" s="2" t="s">
        <v>19</v>
      </c>
      <c r="K160" s="2" t="s">
        <v>24</v>
      </c>
      <c r="L160" s="4"/>
      <c r="M160" s="4"/>
    </row>
    <row r="161" ht="13.5" customHeight="1">
      <c r="A161" s="1">
        <v>160.0</v>
      </c>
      <c r="B161" s="6">
        <v>46054.0</v>
      </c>
      <c r="C161" s="2" t="s">
        <v>30</v>
      </c>
      <c r="D161" s="2" t="s">
        <v>31</v>
      </c>
      <c r="E161" s="2"/>
      <c r="F161" s="2">
        <v>400000.0</v>
      </c>
      <c r="G161" s="2" t="s">
        <v>32</v>
      </c>
      <c r="H161" s="4"/>
      <c r="I161" s="4"/>
      <c r="J161" s="2" t="s">
        <v>19</v>
      </c>
      <c r="K161" s="2" t="s">
        <v>33</v>
      </c>
      <c r="L161" s="4"/>
      <c r="M161" s="4"/>
    </row>
    <row r="162" ht="13.5" customHeight="1">
      <c r="A162" s="1">
        <v>161.0</v>
      </c>
      <c r="B162" s="6">
        <v>46054.0</v>
      </c>
      <c r="C162" s="2" t="s">
        <v>66</v>
      </c>
      <c r="D162" s="2" t="s">
        <v>76</v>
      </c>
      <c r="E162" s="2">
        <v>72000.0</v>
      </c>
      <c r="F162" s="4"/>
      <c r="G162" s="2" t="s">
        <v>18</v>
      </c>
      <c r="H162" s="4"/>
      <c r="I162" s="4"/>
      <c r="J162" s="2" t="s">
        <v>19</v>
      </c>
      <c r="K162" s="2" t="s">
        <v>24</v>
      </c>
      <c r="L162" s="4"/>
      <c r="M162" s="4"/>
    </row>
    <row r="163" ht="13.5" customHeight="1">
      <c r="A163" s="1">
        <v>162.0</v>
      </c>
      <c r="B163" s="6">
        <v>46054.0</v>
      </c>
      <c r="C163" s="2" t="s">
        <v>66</v>
      </c>
      <c r="D163" s="2" t="s">
        <v>55</v>
      </c>
      <c r="E163" s="2">
        <v>5000.0</v>
      </c>
      <c r="F163" s="4"/>
      <c r="G163" s="2" t="s">
        <v>18</v>
      </c>
      <c r="H163" s="4"/>
      <c r="I163" s="4"/>
      <c r="J163" s="2" t="s">
        <v>19</v>
      </c>
      <c r="K163" s="2" t="s">
        <v>24</v>
      </c>
      <c r="L163" s="4"/>
      <c r="M163" s="4"/>
    </row>
    <row r="164" ht="13.5" customHeight="1">
      <c r="A164" s="1">
        <v>163.0</v>
      </c>
      <c r="B164" s="6">
        <v>46054.0</v>
      </c>
      <c r="C164" s="2" t="s">
        <v>66</v>
      </c>
      <c r="D164" s="2" t="s">
        <v>112</v>
      </c>
      <c r="E164" s="2">
        <v>18500.0</v>
      </c>
      <c r="F164" s="4"/>
      <c r="G164" s="2" t="s">
        <v>18</v>
      </c>
      <c r="H164" s="4"/>
      <c r="I164" s="4"/>
      <c r="J164" s="2" t="s">
        <v>19</v>
      </c>
      <c r="K164" s="2" t="s">
        <v>20</v>
      </c>
      <c r="L164" s="4"/>
      <c r="M164" s="4"/>
    </row>
    <row r="165" ht="13.5" customHeight="1">
      <c r="A165" s="1">
        <v>164.0</v>
      </c>
      <c r="B165" s="6">
        <v>46054.0</v>
      </c>
      <c r="C165" s="2" t="s">
        <v>66</v>
      </c>
      <c r="D165" s="2" t="s">
        <v>70</v>
      </c>
      <c r="E165" s="2">
        <v>10000.0</v>
      </c>
      <c r="F165" s="4"/>
      <c r="G165" s="2" t="s">
        <v>18</v>
      </c>
      <c r="H165" s="4"/>
      <c r="I165" s="4"/>
      <c r="J165" s="2" t="s">
        <v>19</v>
      </c>
      <c r="K165" s="2" t="s">
        <v>24</v>
      </c>
      <c r="L165" s="4"/>
      <c r="M165" s="4"/>
    </row>
    <row r="166" ht="13.5" customHeight="1">
      <c r="A166" s="1">
        <v>165.0</v>
      </c>
      <c r="B166" s="6">
        <v>46082.0</v>
      </c>
      <c r="C166" s="2" t="s">
        <v>66</v>
      </c>
      <c r="D166" s="2" t="s">
        <v>76</v>
      </c>
      <c r="E166" s="2">
        <v>72000.0</v>
      </c>
      <c r="F166" s="4"/>
      <c r="G166" s="2" t="s">
        <v>18</v>
      </c>
      <c r="H166" s="4"/>
      <c r="I166" s="4"/>
      <c r="J166" s="2" t="s">
        <v>19</v>
      </c>
      <c r="K166" s="2" t="s">
        <v>24</v>
      </c>
      <c r="L166" s="4"/>
      <c r="M166" s="4"/>
    </row>
    <row r="167" ht="13.5" customHeight="1">
      <c r="A167" s="1">
        <v>166.0</v>
      </c>
      <c r="B167" s="6">
        <v>46082.0</v>
      </c>
      <c r="C167" s="2" t="s">
        <v>66</v>
      </c>
      <c r="D167" s="2" t="s">
        <v>55</v>
      </c>
      <c r="E167" s="2">
        <v>5000.0</v>
      </c>
      <c r="F167" s="4"/>
      <c r="G167" s="2" t="s">
        <v>18</v>
      </c>
      <c r="H167" s="4"/>
      <c r="I167" s="4"/>
      <c r="J167" s="2" t="s">
        <v>19</v>
      </c>
      <c r="K167" s="2" t="s">
        <v>24</v>
      </c>
      <c r="L167" s="4"/>
      <c r="M167" s="4"/>
    </row>
    <row r="168" ht="13.5" customHeight="1">
      <c r="A168" s="1">
        <v>167.0</v>
      </c>
      <c r="B168" s="6">
        <v>46082.0</v>
      </c>
      <c r="C168" s="2" t="s">
        <v>66</v>
      </c>
      <c r="D168" s="2" t="s">
        <v>70</v>
      </c>
      <c r="E168" s="2">
        <v>10000.0</v>
      </c>
      <c r="F168" s="4"/>
      <c r="G168" s="2" t="s">
        <v>18</v>
      </c>
      <c r="H168" s="4"/>
      <c r="I168" s="4"/>
      <c r="J168" s="2" t="s">
        <v>19</v>
      </c>
      <c r="K168" s="2" t="s">
        <v>24</v>
      </c>
      <c r="L168" s="4"/>
      <c r="M168" s="4"/>
    </row>
    <row r="169" ht="13.5" customHeight="1">
      <c r="A169" s="1">
        <v>168.0</v>
      </c>
      <c r="B169" s="6">
        <v>46082.0</v>
      </c>
      <c r="C169" s="2" t="s">
        <v>66</v>
      </c>
      <c r="D169" s="2" t="s">
        <v>47</v>
      </c>
      <c r="E169" s="2">
        <v>221000.0</v>
      </c>
      <c r="F169" s="4"/>
      <c r="G169" s="2" t="s">
        <v>18</v>
      </c>
      <c r="H169" s="4"/>
      <c r="I169" s="4"/>
      <c r="J169" s="2" t="s">
        <v>19</v>
      </c>
      <c r="K169" s="2" t="s">
        <v>20</v>
      </c>
      <c r="L169" s="4"/>
      <c r="M169" s="4"/>
    </row>
    <row r="170" ht="13.5" customHeight="1">
      <c r="A170" s="1">
        <v>169.0</v>
      </c>
      <c r="B170" s="6">
        <v>46143.0</v>
      </c>
      <c r="C170" s="2" t="s">
        <v>66</v>
      </c>
      <c r="D170" s="2" t="s">
        <v>76</v>
      </c>
      <c r="E170" s="2">
        <v>72000.0</v>
      </c>
      <c r="F170" s="4"/>
      <c r="G170" s="2" t="s">
        <v>18</v>
      </c>
      <c r="H170" s="4"/>
      <c r="I170" s="4"/>
      <c r="J170" s="2" t="s">
        <v>19</v>
      </c>
      <c r="K170" s="2" t="s">
        <v>24</v>
      </c>
      <c r="L170" s="4"/>
      <c r="M170" s="4"/>
    </row>
    <row r="171" ht="13.5" customHeight="1">
      <c r="A171" s="1">
        <v>170.0</v>
      </c>
      <c r="B171" s="6">
        <v>46143.0</v>
      </c>
      <c r="C171" s="2" t="s">
        <v>66</v>
      </c>
      <c r="D171" s="2" t="s">
        <v>55</v>
      </c>
      <c r="E171" s="2">
        <v>50000.0</v>
      </c>
      <c r="F171" s="4"/>
      <c r="G171" s="2" t="s">
        <v>18</v>
      </c>
      <c r="H171" s="4"/>
      <c r="I171" s="4"/>
      <c r="J171" s="2" t="s">
        <v>19</v>
      </c>
      <c r="K171" s="2" t="s">
        <v>24</v>
      </c>
      <c r="L171" s="4"/>
      <c r="M171" s="4"/>
    </row>
    <row r="172" ht="13.5" customHeight="1">
      <c r="A172" s="1">
        <v>171.0</v>
      </c>
      <c r="B172" s="6">
        <v>46143.0</v>
      </c>
      <c r="C172" s="2" t="s">
        <v>66</v>
      </c>
      <c r="D172" s="2" t="s">
        <v>61</v>
      </c>
      <c r="E172" s="2">
        <v>10000.0</v>
      </c>
      <c r="F172" s="4"/>
      <c r="G172" s="2" t="s">
        <v>18</v>
      </c>
      <c r="H172" s="4"/>
      <c r="I172" s="4"/>
      <c r="J172" s="2" t="s">
        <v>19</v>
      </c>
      <c r="K172" s="2" t="s">
        <v>20</v>
      </c>
      <c r="L172" s="4"/>
      <c r="M172" s="4"/>
    </row>
    <row r="173" ht="13.5" customHeight="1">
      <c r="A173" s="1">
        <v>172.0</v>
      </c>
      <c r="B173" s="6">
        <v>46143.0</v>
      </c>
      <c r="C173" s="2" t="s">
        <v>25</v>
      </c>
      <c r="D173" s="2" t="s">
        <v>92</v>
      </c>
      <c r="E173" s="2">
        <v>45000.0</v>
      </c>
      <c r="F173" s="4"/>
      <c r="G173" s="2" t="s">
        <v>18</v>
      </c>
      <c r="H173" s="4"/>
      <c r="I173" s="4"/>
      <c r="J173" s="2" t="s">
        <v>19</v>
      </c>
      <c r="K173" s="2" t="s">
        <v>24</v>
      </c>
      <c r="L173" s="4"/>
      <c r="M173" s="4"/>
    </row>
    <row r="174" ht="13.5" customHeight="1">
      <c r="A174" s="1">
        <v>173.0</v>
      </c>
      <c r="B174" s="6">
        <v>46143.0</v>
      </c>
      <c r="C174" s="2" t="s">
        <v>66</v>
      </c>
      <c r="D174" s="2" t="s">
        <v>70</v>
      </c>
      <c r="E174" s="2">
        <v>10000.0</v>
      </c>
      <c r="F174" s="4"/>
      <c r="G174" s="2" t="s">
        <v>18</v>
      </c>
      <c r="H174" s="4"/>
      <c r="I174" s="4"/>
      <c r="J174" s="2" t="s">
        <v>19</v>
      </c>
      <c r="K174" s="2" t="s">
        <v>24</v>
      </c>
      <c r="L174" s="4"/>
      <c r="M174" s="4"/>
    </row>
    <row r="175" ht="13.5" customHeight="1">
      <c r="A175" s="1">
        <v>174.0</v>
      </c>
      <c r="B175" s="6">
        <v>46143.0</v>
      </c>
      <c r="C175" s="2" t="s">
        <v>66</v>
      </c>
      <c r="D175" s="2" t="s">
        <v>34</v>
      </c>
      <c r="E175" s="2">
        <v>45000.0</v>
      </c>
      <c r="F175" s="4"/>
      <c r="G175" s="2" t="s">
        <v>18</v>
      </c>
      <c r="H175" s="4"/>
      <c r="I175" s="4"/>
      <c r="J175" s="2" t="s">
        <v>19</v>
      </c>
      <c r="K175" s="2" t="s">
        <v>35</v>
      </c>
      <c r="L175" s="4"/>
      <c r="M175" s="4"/>
    </row>
    <row r="176" ht="13.5" customHeight="1">
      <c r="A176" s="1">
        <v>175.0</v>
      </c>
      <c r="B176" s="6">
        <v>46143.0</v>
      </c>
      <c r="C176" s="2" t="s">
        <v>66</v>
      </c>
      <c r="D176" s="2" t="s">
        <v>54</v>
      </c>
      <c r="E176" s="2">
        <v>60000.0</v>
      </c>
      <c r="F176" s="4"/>
      <c r="G176" s="2" t="s">
        <v>18</v>
      </c>
      <c r="H176" s="4"/>
      <c r="I176" s="4"/>
      <c r="J176" s="2" t="s">
        <v>19</v>
      </c>
      <c r="K176" s="2" t="s">
        <v>24</v>
      </c>
      <c r="L176" s="4"/>
      <c r="M176" s="4"/>
    </row>
    <row r="177" ht="13.5" customHeight="1">
      <c r="A177" s="1">
        <v>176.0</v>
      </c>
      <c r="B177" s="6">
        <v>46174.0</v>
      </c>
      <c r="C177" s="2" t="s">
        <v>66</v>
      </c>
      <c r="D177" s="2" t="s">
        <v>59</v>
      </c>
      <c r="E177" s="2">
        <v>39000.0</v>
      </c>
      <c r="F177" s="4"/>
      <c r="G177" s="2" t="s">
        <v>18</v>
      </c>
      <c r="H177" s="4"/>
      <c r="I177" s="4"/>
      <c r="J177" s="2" t="s">
        <v>19</v>
      </c>
      <c r="K177" s="2" t="s">
        <v>24</v>
      </c>
      <c r="L177" s="4"/>
      <c r="M177" s="4"/>
    </row>
    <row r="178" ht="13.5" customHeight="1">
      <c r="A178" s="1">
        <v>177.0</v>
      </c>
      <c r="B178" s="6">
        <v>46174.0</v>
      </c>
      <c r="C178" s="2" t="s">
        <v>66</v>
      </c>
      <c r="D178" s="2" t="s">
        <v>76</v>
      </c>
      <c r="E178" s="2">
        <v>84000.0</v>
      </c>
      <c r="F178" s="4"/>
      <c r="G178" s="2" t="s">
        <v>18</v>
      </c>
      <c r="H178" s="4"/>
      <c r="I178" s="4"/>
      <c r="J178" s="2" t="s">
        <v>19</v>
      </c>
      <c r="K178" s="2" t="s">
        <v>24</v>
      </c>
      <c r="L178" s="4"/>
      <c r="M178" s="4"/>
    </row>
    <row r="179" ht="13.5" customHeight="1">
      <c r="A179" s="1">
        <v>178.0</v>
      </c>
      <c r="B179" s="6">
        <v>46174.0</v>
      </c>
      <c r="C179" s="2" t="s">
        <v>66</v>
      </c>
      <c r="D179" s="2" t="s">
        <v>21</v>
      </c>
      <c r="E179" s="2">
        <v>6600.0</v>
      </c>
      <c r="F179" s="4"/>
      <c r="G179" s="2" t="s">
        <v>18</v>
      </c>
      <c r="H179" s="4"/>
      <c r="I179" s="4"/>
      <c r="J179" s="2" t="s">
        <v>19</v>
      </c>
      <c r="K179" s="2" t="s">
        <v>20</v>
      </c>
      <c r="L179" s="4"/>
      <c r="M179" s="4"/>
    </row>
    <row r="180" ht="13.5" customHeight="1">
      <c r="A180" s="1">
        <v>179.0</v>
      </c>
      <c r="B180" s="6">
        <v>46174.0</v>
      </c>
      <c r="C180" s="2" t="s">
        <v>66</v>
      </c>
      <c r="D180" s="2" t="s">
        <v>34</v>
      </c>
      <c r="E180" s="2">
        <v>1500.0</v>
      </c>
      <c r="F180" s="4"/>
      <c r="G180" s="2" t="s">
        <v>18</v>
      </c>
      <c r="H180" s="4"/>
      <c r="I180" s="4"/>
      <c r="J180" s="2" t="s">
        <v>19</v>
      </c>
      <c r="K180" s="2" t="s">
        <v>35</v>
      </c>
      <c r="L180" s="4"/>
      <c r="M180" s="4"/>
    </row>
    <row r="181" ht="13.5" customHeight="1">
      <c r="A181" s="1">
        <v>180.0</v>
      </c>
      <c r="B181" s="6">
        <v>46174.0</v>
      </c>
      <c r="C181" s="2" t="s">
        <v>66</v>
      </c>
      <c r="D181" s="2" t="s">
        <v>109</v>
      </c>
      <c r="E181" s="2">
        <v>4000.0</v>
      </c>
      <c r="F181" s="4"/>
      <c r="G181" s="2" t="s">
        <v>18</v>
      </c>
      <c r="H181" s="4"/>
      <c r="I181" s="4"/>
      <c r="J181" s="2" t="s">
        <v>19</v>
      </c>
      <c r="K181" s="2" t="s">
        <v>20</v>
      </c>
      <c r="L181" s="4"/>
      <c r="M181" s="4"/>
    </row>
    <row r="182" ht="13.5" customHeight="1">
      <c r="A182" s="1">
        <v>181.0</v>
      </c>
      <c r="B182" s="6">
        <v>46174.0</v>
      </c>
      <c r="C182" s="2" t="s">
        <v>66</v>
      </c>
      <c r="D182" s="2" t="s">
        <v>70</v>
      </c>
      <c r="E182" s="2">
        <v>10000.0</v>
      </c>
      <c r="F182" s="4"/>
      <c r="G182" s="2" t="s">
        <v>18</v>
      </c>
      <c r="H182" s="4"/>
      <c r="I182" s="4"/>
      <c r="J182" s="2" t="s">
        <v>19</v>
      </c>
      <c r="K182" s="2" t="s">
        <v>24</v>
      </c>
      <c r="L182" s="4"/>
      <c r="M182" s="4"/>
    </row>
    <row r="183" ht="13.5" customHeight="1">
      <c r="A183" s="1">
        <v>182.0</v>
      </c>
      <c r="B183" s="6">
        <v>46174.0</v>
      </c>
      <c r="C183" s="2" t="s">
        <v>66</v>
      </c>
      <c r="D183" s="2" t="s">
        <v>55</v>
      </c>
      <c r="E183" s="2">
        <v>5000.0</v>
      </c>
      <c r="F183" s="4"/>
      <c r="G183" s="2" t="s">
        <v>18</v>
      </c>
      <c r="H183" s="4"/>
      <c r="I183" s="4"/>
      <c r="J183" s="2" t="s">
        <v>19</v>
      </c>
      <c r="K183" s="2" t="s">
        <v>24</v>
      </c>
      <c r="L183" s="4"/>
      <c r="M183" s="4"/>
    </row>
    <row r="184" ht="13.5" customHeight="1">
      <c r="A184" s="1">
        <v>183.0</v>
      </c>
      <c r="B184" s="6">
        <v>46174.0</v>
      </c>
      <c r="C184" s="2" t="s">
        <v>25</v>
      </c>
      <c r="D184" s="2" t="s">
        <v>111</v>
      </c>
      <c r="E184" s="2">
        <v>8000.0</v>
      </c>
      <c r="F184" s="4"/>
      <c r="G184" s="2" t="s">
        <v>18</v>
      </c>
      <c r="H184" s="4"/>
      <c r="I184" s="4"/>
      <c r="J184" s="2" t="s">
        <v>19</v>
      </c>
      <c r="K184" s="2" t="s">
        <v>24</v>
      </c>
      <c r="L184" s="4"/>
      <c r="M184" s="4"/>
    </row>
    <row r="185" ht="13.5" customHeight="1">
      <c r="A185" s="1">
        <v>184.0</v>
      </c>
      <c r="B185" s="6">
        <v>46174.0</v>
      </c>
      <c r="C185" s="2" t="s">
        <v>22</v>
      </c>
      <c r="D185" s="2" t="s">
        <v>23</v>
      </c>
      <c r="E185" s="2">
        <v>7000.0</v>
      </c>
      <c r="F185" s="4"/>
      <c r="G185" s="2" t="s">
        <v>18</v>
      </c>
      <c r="H185" s="4"/>
      <c r="I185" s="4"/>
      <c r="J185" s="2" t="s">
        <v>19</v>
      </c>
      <c r="K185" s="2" t="s">
        <v>35</v>
      </c>
      <c r="L185" s="4"/>
      <c r="M185" s="4"/>
    </row>
    <row r="186" ht="13.5" customHeight="1">
      <c r="A186" s="1">
        <v>185.0</v>
      </c>
      <c r="B186" s="6">
        <v>46204.0</v>
      </c>
      <c r="C186" s="2" t="s">
        <v>66</v>
      </c>
      <c r="D186" s="2" t="s">
        <v>59</v>
      </c>
      <c r="E186" s="2">
        <v>51000.0</v>
      </c>
      <c r="F186" s="4"/>
      <c r="G186" s="2" t="s">
        <v>18</v>
      </c>
      <c r="H186" s="4"/>
      <c r="I186" s="4"/>
      <c r="J186" s="2" t="s">
        <v>19</v>
      </c>
      <c r="K186" s="2" t="s">
        <v>24</v>
      </c>
      <c r="L186" s="4"/>
      <c r="M186" s="4"/>
    </row>
    <row r="187" ht="13.5" customHeight="1">
      <c r="A187" s="1">
        <v>186.0</v>
      </c>
      <c r="B187" s="6">
        <v>46204.0</v>
      </c>
      <c r="C187" s="2" t="s">
        <v>66</v>
      </c>
      <c r="D187" s="2" t="s">
        <v>55</v>
      </c>
      <c r="E187" s="2">
        <v>5000.0</v>
      </c>
      <c r="F187" s="4"/>
      <c r="G187" s="2" t="s">
        <v>18</v>
      </c>
      <c r="H187" s="4"/>
      <c r="I187" s="4"/>
      <c r="J187" s="2" t="s">
        <v>19</v>
      </c>
      <c r="K187" s="2" t="s">
        <v>24</v>
      </c>
      <c r="L187" s="4"/>
      <c r="M187" s="4"/>
    </row>
    <row r="188" ht="13.5" customHeight="1">
      <c r="A188" s="1">
        <v>187.0</v>
      </c>
      <c r="B188" s="6">
        <v>46204.0</v>
      </c>
      <c r="C188" s="2" t="s">
        <v>66</v>
      </c>
      <c r="D188" s="2" t="s">
        <v>47</v>
      </c>
      <c r="E188" s="2">
        <v>100000.0</v>
      </c>
      <c r="F188" s="4"/>
      <c r="G188" s="2" t="s">
        <v>18</v>
      </c>
      <c r="H188" s="4"/>
      <c r="I188" s="4"/>
      <c r="J188" s="2" t="s">
        <v>19</v>
      </c>
      <c r="K188" s="2" t="s">
        <v>20</v>
      </c>
      <c r="L188" s="4"/>
      <c r="M188" s="4"/>
    </row>
    <row r="189" ht="13.5" customHeight="1">
      <c r="A189" s="1">
        <v>188.0</v>
      </c>
      <c r="B189" s="6">
        <v>46204.0</v>
      </c>
      <c r="C189" s="2" t="s">
        <v>25</v>
      </c>
      <c r="D189" s="2" t="s">
        <v>77</v>
      </c>
      <c r="E189" s="2">
        <v>8000.0</v>
      </c>
      <c r="F189" s="4"/>
      <c r="G189" s="2" t="s">
        <v>18</v>
      </c>
      <c r="H189" s="4"/>
      <c r="I189" s="4"/>
      <c r="J189" s="2" t="s">
        <v>19</v>
      </c>
      <c r="K189" s="2" t="s">
        <v>24</v>
      </c>
      <c r="L189" s="4"/>
      <c r="M189" s="4"/>
    </row>
    <row r="190" ht="13.5" customHeight="1">
      <c r="A190" s="1">
        <v>189.0</v>
      </c>
      <c r="B190" s="6">
        <v>46204.0</v>
      </c>
      <c r="C190" s="2" t="s">
        <v>66</v>
      </c>
      <c r="D190" s="2" t="s">
        <v>70</v>
      </c>
      <c r="E190" s="2">
        <v>10000.0</v>
      </c>
      <c r="F190" s="4"/>
      <c r="G190" s="2" t="s">
        <v>18</v>
      </c>
      <c r="H190" s="4"/>
      <c r="I190" s="4"/>
      <c r="J190" s="2" t="s">
        <v>19</v>
      </c>
      <c r="K190" s="2" t="s">
        <v>24</v>
      </c>
      <c r="L190" s="4"/>
      <c r="M190" s="4"/>
    </row>
    <row r="191" ht="13.5" customHeight="1">
      <c r="A191" s="1">
        <v>190.0</v>
      </c>
      <c r="B191" s="6">
        <v>46204.0</v>
      </c>
      <c r="C191" s="2" t="s">
        <v>25</v>
      </c>
      <c r="D191" s="2" t="s">
        <v>92</v>
      </c>
      <c r="E191" s="2">
        <v>15000.0</v>
      </c>
      <c r="F191" s="4"/>
      <c r="G191" s="2" t="s">
        <v>18</v>
      </c>
      <c r="H191" s="4"/>
      <c r="I191" s="4"/>
      <c r="J191" s="2" t="s">
        <v>19</v>
      </c>
      <c r="K191" s="2" t="s">
        <v>20</v>
      </c>
      <c r="L191" s="4"/>
      <c r="M191" s="4"/>
    </row>
    <row r="192" ht="13.5" customHeight="1">
      <c r="B192" s="6">
        <v>46235.0</v>
      </c>
      <c r="C192" s="2" t="s">
        <v>30</v>
      </c>
      <c r="D192" s="2" t="s">
        <v>31</v>
      </c>
      <c r="E192" s="2"/>
      <c r="F192" s="2">
        <v>200000.0</v>
      </c>
      <c r="G192" s="2" t="s">
        <v>32</v>
      </c>
      <c r="H192" s="4"/>
      <c r="I192" s="4"/>
      <c r="J192" s="2" t="s">
        <v>19</v>
      </c>
      <c r="K192" s="2" t="s">
        <v>33</v>
      </c>
      <c r="L192" s="4"/>
      <c r="M192" s="4"/>
    </row>
    <row r="193" ht="13.5" customHeight="1">
      <c r="A193" s="1">
        <v>191.0</v>
      </c>
      <c r="B193" s="6">
        <v>46235.0</v>
      </c>
      <c r="C193" s="2" t="s">
        <v>66</v>
      </c>
      <c r="D193" s="2" t="s">
        <v>59</v>
      </c>
      <c r="E193" s="2">
        <v>51000.0</v>
      </c>
      <c r="F193" s="4"/>
      <c r="G193" s="2" t="s">
        <v>18</v>
      </c>
      <c r="H193" s="4"/>
      <c r="I193" s="4"/>
      <c r="J193" s="2" t="s">
        <v>19</v>
      </c>
      <c r="K193" s="2" t="s">
        <v>24</v>
      </c>
      <c r="L193" s="4"/>
      <c r="M193" s="4"/>
    </row>
    <row r="194" ht="13.5" customHeight="1">
      <c r="A194" s="1">
        <v>192.0</v>
      </c>
      <c r="B194" s="6">
        <v>46235.0</v>
      </c>
      <c r="C194" s="2" t="s">
        <v>66</v>
      </c>
      <c r="D194" s="2" t="s">
        <v>70</v>
      </c>
      <c r="E194" s="2">
        <v>10000.0</v>
      </c>
      <c r="F194" s="4"/>
      <c r="G194" s="2" t="s">
        <v>18</v>
      </c>
      <c r="H194" s="4"/>
      <c r="I194" s="4"/>
      <c r="J194" s="2" t="s">
        <v>19</v>
      </c>
      <c r="K194" s="2" t="s">
        <v>24</v>
      </c>
      <c r="L194" s="4"/>
      <c r="M194" s="4"/>
    </row>
    <row r="195" ht="13.5" customHeight="1">
      <c r="A195" s="1">
        <v>193.0</v>
      </c>
      <c r="B195" s="6">
        <v>46266.0</v>
      </c>
      <c r="C195" s="2" t="s">
        <v>66</v>
      </c>
      <c r="D195" s="2" t="s">
        <v>59</v>
      </c>
      <c r="E195" s="2">
        <v>51000.0</v>
      </c>
      <c r="F195" s="4"/>
      <c r="G195" s="2" t="s">
        <v>18</v>
      </c>
      <c r="H195" s="4"/>
      <c r="I195" s="4"/>
      <c r="J195" s="2" t="s">
        <v>19</v>
      </c>
      <c r="K195" s="2" t="s">
        <v>24</v>
      </c>
      <c r="L195" s="4"/>
      <c r="M195" s="4"/>
    </row>
    <row r="196" ht="13.5" customHeight="1">
      <c r="A196" s="1">
        <v>194.0</v>
      </c>
      <c r="B196" s="6">
        <v>46266.0</v>
      </c>
      <c r="C196" s="2" t="s">
        <v>66</v>
      </c>
      <c r="D196" s="2" t="s">
        <v>76</v>
      </c>
      <c r="E196" s="2">
        <v>22000.0</v>
      </c>
      <c r="F196" s="4"/>
      <c r="G196" s="2" t="s">
        <v>18</v>
      </c>
      <c r="H196" s="4"/>
      <c r="I196" s="4"/>
      <c r="J196" s="2" t="s">
        <v>19</v>
      </c>
      <c r="K196" s="2" t="s">
        <v>24</v>
      </c>
      <c r="L196" s="4"/>
      <c r="M196" s="4"/>
    </row>
    <row r="197" ht="13.5" customHeight="1">
      <c r="A197" s="1">
        <v>195.0</v>
      </c>
      <c r="B197" s="6">
        <v>46266.0</v>
      </c>
      <c r="C197" s="2" t="s">
        <v>66</v>
      </c>
      <c r="D197" s="2" t="s">
        <v>113</v>
      </c>
      <c r="E197" s="2">
        <v>3000.0</v>
      </c>
      <c r="F197" s="4"/>
      <c r="G197" s="2" t="s">
        <v>18</v>
      </c>
      <c r="H197" s="4"/>
      <c r="I197" s="4"/>
      <c r="J197" s="2" t="s">
        <v>19</v>
      </c>
      <c r="K197" s="2" t="s">
        <v>20</v>
      </c>
      <c r="L197" s="4"/>
      <c r="M197" s="4"/>
    </row>
    <row r="198" ht="13.5" customHeight="1">
      <c r="A198" s="1">
        <v>196.0</v>
      </c>
      <c r="B198" s="6">
        <v>46266.0</v>
      </c>
      <c r="C198" s="2" t="s">
        <v>66</v>
      </c>
      <c r="D198" s="2" t="s">
        <v>109</v>
      </c>
      <c r="E198" s="2">
        <v>4000.0</v>
      </c>
      <c r="F198" s="4"/>
      <c r="G198" s="2" t="s">
        <v>18</v>
      </c>
      <c r="H198" s="4"/>
      <c r="I198" s="4"/>
      <c r="J198" s="2" t="s">
        <v>19</v>
      </c>
      <c r="K198" s="2" t="s">
        <v>20</v>
      </c>
      <c r="L198" s="4"/>
      <c r="M198" s="4"/>
    </row>
    <row r="199" ht="13.5" customHeight="1">
      <c r="A199" s="1">
        <v>197.0</v>
      </c>
      <c r="B199" s="6">
        <v>46266.0</v>
      </c>
      <c r="C199" s="2" t="s">
        <v>66</v>
      </c>
      <c r="D199" s="2" t="s">
        <v>91</v>
      </c>
      <c r="E199" s="2">
        <v>500.0</v>
      </c>
      <c r="F199" s="4"/>
      <c r="G199" s="2" t="s">
        <v>18</v>
      </c>
      <c r="H199" s="4"/>
      <c r="I199" s="4"/>
      <c r="J199" s="2" t="s">
        <v>19</v>
      </c>
      <c r="K199" s="2" t="s">
        <v>20</v>
      </c>
      <c r="L199" s="4"/>
      <c r="M199" s="4"/>
    </row>
    <row r="200" ht="13.5" customHeight="1">
      <c r="A200" s="1">
        <v>198.0</v>
      </c>
      <c r="B200" s="6">
        <v>46266.0</v>
      </c>
      <c r="C200" s="2" t="s">
        <v>66</v>
      </c>
      <c r="D200" s="2" t="s">
        <v>70</v>
      </c>
      <c r="E200" s="2">
        <v>10000.0</v>
      </c>
      <c r="F200" s="2"/>
      <c r="G200" s="2" t="s">
        <v>18</v>
      </c>
      <c r="H200" s="4"/>
      <c r="I200" s="4"/>
      <c r="J200" s="2" t="s">
        <v>19</v>
      </c>
      <c r="K200" s="2" t="s">
        <v>24</v>
      </c>
      <c r="L200" s="4"/>
      <c r="M200" s="4"/>
    </row>
    <row r="201" ht="13.5" customHeight="1">
      <c r="A201" s="1">
        <v>199.0</v>
      </c>
      <c r="B201" s="6">
        <v>46296.0</v>
      </c>
      <c r="C201" s="2" t="s">
        <v>30</v>
      </c>
      <c r="D201" s="2" t="s">
        <v>31</v>
      </c>
      <c r="E201" s="2"/>
      <c r="F201" s="2">
        <v>200000.0</v>
      </c>
      <c r="G201" s="2" t="s">
        <v>18</v>
      </c>
      <c r="H201" s="4"/>
      <c r="I201" s="4"/>
      <c r="J201" s="2" t="s">
        <v>19</v>
      </c>
      <c r="K201" s="2" t="s">
        <v>33</v>
      </c>
      <c r="L201" s="4"/>
      <c r="M201" s="4"/>
    </row>
    <row r="202" ht="13.5" customHeight="1">
      <c r="A202" s="1">
        <v>200.0</v>
      </c>
      <c r="B202" s="6">
        <v>46296.0</v>
      </c>
      <c r="C202" s="2" t="s">
        <v>66</v>
      </c>
      <c r="D202" s="2" t="s">
        <v>76</v>
      </c>
      <c r="E202" s="2">
        <v>22000.0</v>
      </c>
      <c r="F202" s="2"/>
      <c r="G202" s="2" t="s">
        <v>18</v>
      </c>
      <c r="H202" s="4"/>
      <c r="I202" s="4"/>
      <c r="J202" s="2" t="s">
        <v>19</v>
      </c>
      <c r="K202" s="2" t="s">
        <v>24</v>
      </c>
      <c r="L202" s="4"/>
      <c r="M202" s="4"/>
    </row>
    <row r="203" ht="13.5" customHeight="1">
      <c r="A203" s="1">
        <v>201.0</v>
      </c>
      <c r="B203" s="6">
        <v>46296.0</v>
      </c>
      <c r="C203" s="2" t="s">
        <v>66</v>
      </c>
      <c r="D203" s="2" t="s">
        <v>59</v>
      </c>
      <c r="E203" s="2">
        <v>36000.0</v>
      </c>
      <c r="F203" s="4"/>
      <c r="G203" s="2" t="s">
        <v>18</v>
      </c>
      <c r="H203" s="4"/>
      <c r="I203" s="4"/>
      <c r="J203" s="2" t="s">
        <v>19</v>
      </c>
      <c r="K203" s="2" t="s">
        <v>24</v>
      </c>
      <c r="L203" s="4"/>
      <c r="M203" s="4"/>
    </row>
    <row r="204" ht="13.5" customHeight="1">
      <c r="A204" s="1">
        <v>202.0</v>
      </c>
      <c r="B204" s="6">
        <v>46296.0</v>
      </c>
      <c r="C204" s="2" t="s">
        <v>66</v>
      </c>
      <c r="D204" s="2" t="s">
        <v>109</v>
      </c>
      <c r="E204" s="2">
        <v>8000.0</v>
      </c>
      <c r="F204" s="4"/>
      <c r="G204" s="2" t="s">
        <v>18</v>
      </c>
      <c r="H204" s="4"/>
      <c r="I204" s="4"/>
      <c r="J204" s="2" t="s">
        <v>19</v>
      </c>
      <c r="K204" s="2" t="s">
        <v>20</v>
      </c>
      <c r="L204" s="4"/>
      <c r="M204" s="4"/>
    </row>
    <row r="205" ht="13.5" customHeight="1">
      <c r="A205" s="1">
        <v>203.0</v>
      </c>
      <c r="B205" s="6">
        <v>46296.0</v>
      </c>
      <c r="C205" s="2" t="s">
        <v>66</v>
      </c>
      <c r="D205" s="2" t="s">
        <v>70</v>
      </c>
      <c r="E205" s="2">
        <v>10000.0</v>
      </c>
      <c r="F205" s="4"/>
      <c r="G205" s="2" t="s">
        <v>18</v>
      </c>
      <c r="H205" s="4"/>
      <c r="I205" s="4"/>
      <c r="J205" s="2" t="s">
        <v>19</v>
      </c>
      <c r="K205" s="2" t="s">
        <v>24</v>
      </c>
      <c r="L205" s="4"/>
      <c r="M205" s="4"/>
    </row>
    <row r="206" ht="13.5" customHeight="1">
      <c r="A206" s="1">
        <v>204.0</v>
      </c>
      <c r="B206" s="6">
        <v>46357.0</v>
      </c>
      <c r="C206" s="2" t="s">
        <v>66</v>
      </c>
      <c r="D206" s="2" t="s">
        <v>59</v>
      </c>
      <c r="E206" s="2">
        <v>51000.0</v>
      </c>
      <c r="F206" s="4"/>
      <c r="G206" s="2" t="s">
        <v>18</v>
      </c>
      <c r="H206" s="4"/>
      <c r="I206" s="4"/>
      <c r="J206" s="2" t="s">
        <v>19</v>
      </c>
      <c r="K206" s="2" t="s">
        <v>24</v>
      </c>
      <c r="L206" s="4"/>
      <c r="M206" s="4"/>
    </row>
    <row r="207" ht="13.5" customHeight="1">
      <c r="A207" s="1">
        <v>205.0</v>
      </c>
      <c r="B207" s="6">
        <v>46357.0</v>
      </c>
      <c r="C207" s="2" t="s">
        <v>66</v>
      </c>
      <c r="D207" s="2" t="s">
        <v>70</v>
      </c>
      <c r="E207" s="2">
        <v>10000.0</v>
      </c>
      <c r="F207" s="4"/>
      <c r="G207" s="2" t="s">
        <v>18</v>
      </c>
      <c r="H207" s="4"/>
      <c r="I207" s="4"/>
      <c r="J207" s="2" t="s">
        <v>19</v>
      </c>
      <c r="K207" s="2" t="s">
        <v>24</v>
      </c>
      <c r="L207" s="4"/>
      <c r="M207" s="4"/>
    </row>
    <row r="208" ht="13.5" customHeight="1">
      <c r="A208" s="1">
        <v>206.0</v>
      </c>
      <c r="B208" s="2" t="s">
        <v>114</v>
      </c>
      <c r="C208" s="2" t="s">
        <v>22</v>
      </c>
      <c r="D208" s="2" t="s">
        <v>23</v>
      </c>
      <c r="E208" s="2">
        <v>13000.0</v>
      </c>
      <c r="F208" s="4"/>
      <c r="G208" s="2" t="s">
        <v>18</v>
      </c>
      <c r="H208" s="4"/>
      <c r="I208" s="4"/>
      <c r="J208" s="2" t="s">
        <v>19</v>
      </c>
      <c r="K208" s="2" t="s">
        <v>24</v>
      </c>
      <c r="L208" s="4"/>
      <c r="M208" s="4"/>
    </row>
    <row r="209" ht="13.5" customHeight="1">
      <c r="A209" s="1">
        <v>207.0</v>
      </c>
      <c r="B209" s="2" t="s">
        <v>114</v>
      </c>
      <c r="C209" s="2" t="s">
        <v>66</v>
      </c>
      <c r="D209" s="2" t="s">
        <v>34</v>
      </c>
      <c r="E209" s="2">
        <v>2000.0</v>
      </c>
      <c r="F209" s="4"/>
      <c r="G209" s="2" t="s">
        <v>18</v>
      </c>
      <c r="H209" s="4"/>
      <c r="I209" s="4"/>
      <c r="J209" s="2" t="s">
        <v>19</v>
      </c>
      <c r="K209" s="2" t="s">
        <v>35</v>
      </c>
      <c r="L209" s="4"/>
      <c r="M209" s="4"/>
    </row>
    <row r="210" ht="13.5" customHeight="1">
      <c r="A210" s="1">
        <v>208.0</v>
      </c>
      <c r="B210" s="2" t="s">
        <v>114</v>
      </c>
      <c r="C210" s="2" t="s">
        <v>66</v>
      </c>
      <c r="D210" s="2" t="s">
        <v>109</v>
      </c>
      <c r="E210" s="2">
        <v>4000.0</v>
      </c>
      <c r="F210" s="4"/>
      <c r="G210" s="2" t="s">
        <v>18</v>
      </c>
      <c r="H210" s="4"/>
      <c r="I210" s="4"/>
      <c r="J210" s="2" t="s">
        <v>19</v>
      </c>
      <c r="K210" s="2" t="s">
        <v>20</v>
      </c>
      <c r="L210" s="4"/>
      <c r="M210" s="4"/>
    </row>
    <row r="211" ht="13.5" customHeight="1">
      <c r="A211" s="1">
        <v>209.0</v>
      </c>
      <c r="B211" s="2" t="s">
        <v>114</v>
      </c>
      <c r="C211" s="2" t="s">
        <v>30</v>
      </c>
      <c r="D211" s="2" t="s">
        <v>31</v>
      </c>
      <c r="E211" s="4"/>
      <c r="F211" s="2">
        <v>800000.0</v>
      </c>
      <c r="G211" s="2" t="s">
        <v>32</v>
      </c>
      <c r="H211" s="4"/>
      <c r="I211" s="4"/>
      <c r="J211" s="2" t="s">
        <v>19</v>
      </c>
      <c r="K211" s="2" t="s">
        <v>33</v>
      </c>
      <c r="L211" s="4"/>
      <c r="M211" s="4"/>
    </row>
    <row r="212" ht="13.5" customHeight="1">
      <c r="A212" s="1">
        <v>210.0</v>
      </c>
      <c r="B212" s="2" t="s">
        <v>114</v>
      </c>
      <c r="C212" s="2" t="s">
        <v>66</v>
      </c>
      <c r="D212" s="2" t="s">
        <v>59</v>
      </c>
      <c r="E212" s="2">
        <v>51000.0</v>
      </c>
      <c r="F212" s="4"/>
      <c r="G212" s="2" t="s">
        <v>18</v>
      </c>
      <c r="H212" s="4"/>
      <c r="I212" s="4"/>
      <c r="J212" s="2" t="s">
        <v>19</v>
      </c>
      <c r="K212" s="2" t="s">
        <v>24</v>
      </c>
      <c r="L212" s="4"/>
      <c r="M212" s="4"/>
    </row>
    <row r="213" ht="13.5" customHeight="1">
      <c r="A213" s="1">
        <v>211.0</v>
      </c>
      <c r="B213" s="2" t="s">
        <v>114</v>
      </c>
      <c r="C213" s="2" t="s">
        <v>66</v>
      </c>
      <c r="D213" s="2" t="s">
        <v>76</v>
      </c>
      <c r="E213" s="2">
        <v>22000.0</v>
      </c>
      <c r="F213" s="4"/>
      <c r="G213" s="2" t="s">
        <v>18</v>
      </c>
      <c r="H213" s="4"/>
      <c r="I213" s="4"/>
      <c r="J213" s="2" t="s">
        <v>19</v>
      </c>
      <c r="K213" s="2" t="s">
        <v>24</v>
      </c>
      <c r="L213" s="4"/>
      <c r="M213" s="4"/>
    </row>
    <row r="214" ht="13.5" customHeight="1">
      <c r="A214" s="1">
        <v>212.0</v>
      </c>
      <c r="B214" s="2" t="s">
        <v>114</v>
      </c>
      <c r="C214" s="2" t="s">
        <v>66</v>
      </c>
      <c r="D214" s="2" t="s">
        <v>115</v>
      </c>
      <c r="E214" s="2">
        <v>30000.0</v>
      </c>
      <c r="F214" s="4"/>
      <c r="G214" s="2" t="s">
        <v>18</v>
      </c>
      <c r="H214" s="4"/>
      <c r="I214" s="4"/>
      <c r="J214" s="2" t="s">
        <v>19</v>
      </c>
      <c r="K214" s="2" t="s">
        <v>24</v>
      </c>
      <c r="L214" s="4"/>
      <c r="M214" s="4"/>
    </row>
    <row r="215" ht="13.5" customHeight="1">
      <c r="A215" s="1">
        <v>213.0</v>
      </c>
      <c r="B215" s="2" t="s">
        <v>114</v>
      </c>
      <c r="C215" s="2" t="s">
        <v>25</v>
      </c>
      <c r="D215" s="2" t="s">
        <v>116</v>
      </c>
      <c r="E215" s="2">
        <v>70000.0</v>
      </c>
      <c r="F215" s="4"/>
      <c r="G215" s="2" t="s">
        <v>18</v>
      </c>
      <c r="H215" s="4"/>
      <c r="I215" s="4"/>
      <c r="J215" s="2" t="s">
        <v>19</v>
      </c>
      <c r="K215" s="2" t="s">
        <v>20</v>
      </c>
      <c r="L215" s="4"/>
      <c r="M215" s="4"/>
    </row>
    <row r="216" ht="13.5" customHeight="1">
      <c r="A216" s="1">
        <v>214.0</v>
      </c>
      <c r="B216" s="2" t="s">
        <v>114</v>
      </c>
      <c r="C216" s="2" t="s">
        <v>66</v>
      </c>
      <c r="D216" s="2" t="s">
        <v>117</v>
      </c>
      <c r="E216" s="2">
        <v>620000.0</v>
      </c>
      <c r="F216" s="4"/>
      <c r="G216" s="2" t="s">
        <v>18</v>
      </c>
      <c r="H216" s="4"/>
      <c r="I216" s="4"/>
      <c r="J216" s="2" t="s">
        <v>19</v>
      </c>
      <c r="K216" s="2" t="s">
        <v>20</v>
      </c>
      <c r="L216" s="4"/>
      <c r="M216" s="4"/>
    </row>
    <row r="217" ht="13.5" customHeight="1">
      <c r="A217" s="1">
        <v>215.0</v>
      </c>
      <c r="B217" s="2" t="s">
        <v>118</v>
      </c>
      <c r="C217" s="2" t="s">
        <v>66</v>
      </c>
      <c r="D217" s="2" t="s">
        <v>59</v>
      </c>
      <c r="E217" s="2">
        <v>51000.0</v>
      </c>
      <c r="F217" s="4"/>
      <c r="G217" s="2" t="s">
        <v>18</v>
      </c>
      <c r="H217" s="4"/>
      <c r="I217" s="4"/>
      <c r="J217" s="2" t="s">
        <v>19</v>
      </c>
      <c r="K217" s="2" t="s">
        <v>24</v>
      </c>
      <c r="L217" s="4"/>
      <c r="M217" s="4"/>
    </row>
    <row r="218" ht="13.5" customHeight="1">
      <c r="A218" s="1">
        <v>216.0</v>
      </c>
      <c r="B218" s="2" t="s">
        <v>118</v>
      </c>
      <c r="C218" s="2" t="s">
        <v>66</v>
      </c>
      <c r="D218" s="2" t="s">
        <v>119</v>
      </c>
      <c r="E218" s="2">
        <v>10000.0</v>
      </c>
      <c r="F218" s="4"/>
      <c r="G218" s="2" t="s">
        <v>18</v>
      </c>
      <c r="H218" s="4"/>
      <c r="I218" s="4"/>
      <c r="J218" s="2" t="s">
        <v>19</v>
      </c>
      <c r="K218" s="2" t="s">
        <v>24</v>
      </c>
      <c r="L218" s="4"/>
      <c r="M218" s="4"/>
    </row>
    <row r="219" ht="13.5" customHeight="1">
      <c r="A219" s="1">
        <v>217.0</v>
      </c>
      <c r="B219" s="2" t="s">
        <v>118</v>
      </c>
      <c r="C219" s="2" t="s">
        <v>66</v>
      </c>
      <c r="D219" s="2" t="s">
        <v>70</v>
      </c>
      <c r="E219" s="2">
        <v>10000.0</v>
      </c>
      <c r="F219" s="4"/>
      <c r="G219" s="2" t="s">
        <v>18</v>
      </c>
      <c r="H219" s="4"/>
      <c r="I219" s="4"/>
      <c r="J219" s="2" t="s">
        <v>19</v>
      </c>
      <c r="K219" s="2" t="s">
        <v>24</v>
      </c>
      <c r="L219" s="4"/>
      <c r="M219" s="4"/>
    </row>
    <row r="220" ht="13.5" customHeight="1">
      <c r="A220" s="1">
        <v>218.0</v>
      </c>
      <c r="B220" s="2" t="s">
        <v>120</v>
      </c>
      <c r="C220" s="2" t="s">
        <v>66</v>
      </c>
      <c r="D220" s="2" t="s">
        <v>31</v>
      </c>
      <c r="E220" s="4"/>
      <c r="F220" s="2">
        <v>400000.0</v>
      </c>
      <c r="G220" s="2" t="s">
        <v>18</v>
      </c>
      <c r="H220" s="4"/>
      <c r="I220" s="4"/>
      <c r="J220" s="2" t="s">
        <v>19</v>
      </c>
      <c r="K220" s="2" t="s">
        <v>33</v>
      </c>
      <c r="L220" s="4"/>
      <c r="M220" s="4"/>
    </row>
    <row r="221" ht="13.5" customHeight="1">
      <c r="A221" s="1">
        <v>219.0</v>
      </c>
      <c r="B221" s="2" t="s">
        <v>120</v>
      </c>
      <c r="C221" s="2" t="s">
        <v>66</v>
      </c>
      <c r="D221" s="2" t="s">
        <v>121</v>
      </c>
      <c r="E221" s="2">
        <v>300000.0</v>
      </c>
      <c r="F221" s="4"/>
      <c r="G221" s="2" t="s">
        <v>18</v>
      </c>
      <c r="H221" s="4"/>
      <c r="I221" s="4"/>
      <c r="J221" s="2" t="s">
        <v>19</v>
      </c>
      <c r="K221" s="2" t="s">
        <v>24</v>
      </c>
      <c r="L221" s="4"/>
      <c r="M221" s="4"/>
    </row>
    <row r="222" ht="13.5" customHeight="1">
      <c r="A222" s="1">
        <v>220.0</v>
      </c>
      <c r="B222" s="2" t="s">
        <v>120</v>
      </c>
      <c r="C222" s="2" t="s">
        <v>66</v>
      </c>
      <c r="D222" s="2" t="s">
        <v>122</v>
      </c>
      <c r="E222" s="2">
        <v>15000.0</v>
      </c>
      <c r="F222" s="4"/>
      <c r="G222" s="2" t="s">
        <v>18</v>
      </c>
      <c r="H222" s="4"/>
      <c r="I222" s="4"/>
      <c r="J222" s="2" t="s">
        <v>19</v>
      </c>
      <c r="K222" s="2" t="s">
        <v>24</v>
      </c>
      <c r="L222" s="4"/>
      <c r="M222" s="4"/>
    </row>
    <row r="223" ht="13.5" customHeight="1">
      <c r="A223" s="1">
        <v>221.0</v>
      </c>
      <c r="B223" s="2" t="s">
        <v>120</v>
      </c>
      <c r="C223" s="2" t="s">
        <v>66</v>
      </c>
      <c r="D223" s="2" t="s">
        <v>119</v>
      </c>
      <c r="E223" s="2">
        <v>10000.0</v>
      </c>
      <c r="F223" s="4"/>
      <c r="G223" s="2" t="s">
        <v>18</v>
      </c>
      <c r="H223" s="4"/>
      <c r="I223" s="4"/>
      <c r="J223" s="2" t="s">
        <v>19</v>
      </c>
      <c r="K223" s="2" t="s">
        <v>24</v>
      </c>
      <c r="L223" s="4"/>
      <c r="M223" s="4"/>
    </row>
    <row r="224" ht="13.5" customHeight="1">
      <c r="A224" s="1">
        <v>222.0</v>
      </c>
      <c r="B224" s="2" t="s">
        <v>120</v>
      </c>
      <c r="C224" s="2" t="s">
        <v>66</v>
      </c>
      <c r="D224" s="2" t="s">
        <v>70</v>
      </c>
      <c r="E224" s="2">
        <v>10000.0</v>
      </c>
      <c r="F224" s="4"/>
      <c r="G224" s="2" t="s">
        <v>18</v>
      </c>
      <c r="H224" s="4"/>
      <c r="I224" s="4"/>
      <c r="J224" s="2" t="s">
        <v>19</v>
      </c>
      <c r="K224" s="2" t="s">
        <v>24</v>
      </c>
      <c r="L224" s="4"/>
      <c r="M224" s="4"/>
    </row>
    <row r="225" ht="13.5" customHeight="1">
      <c r="A225" s="1">
        <v>223.0</v>
      </c>
      <c r="B225" s="2" t="s">
        <v>120</v>
      </c>
      <c r="C225" s="2" t="s">
        <v>123</v>
      </c>
      <c r="D225" s="2" t="s">
        <v>26</v>
      </c>
      <c r="E225" s="2">
        <v>15000.0</v>
      </c>
      <c r="F225" s="4"/>
      <c r="G225" s="2" t="s">
        <v>18</v>
      </c>
      <c r="H225" s="4"/>
      <c r="I225" s="4"/>
      <c r="J225" s="2" t="s">
        <v>19</v>
      </c>
      <c r="K225" s="2" t="s">
        <v>24</v>
      </c>
      <c r="L225" s="4"/>
      <c r="M225" s="4"/>
    </row>
    <row r="226" ht="13.5" customHeight="1">
      <c r="A226" s="1">
        <v>224.0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3.5" customHeight="1">
      <c r="A227" s="1">
        <v>225.0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3.5" customHeight="1">
      <c r="A228" s="1">
        <v>226.0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3.5" customHeight="1">
      <c r="A229" s="1">
        <v>227.0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3.5" customHeight="1">
      <c r="A230" s="1">
        <v>228.0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3.5" customHeight="1">
      <c r="A231" s="1">
        <v>229.0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 ht="13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ht="13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 ht="13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 ht="13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 ht="13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</sheetData>
  <dataValidations>
    <dataValidation type="list" allowBlank="1" sqref="K2:K1006">
      <formula1>Settings!$D$2:$D$200</formula1>
    </dataValidation>
    <dataValidation type="list" allowBlank="1" sqref="J2:J1006">
      <formula1>Settings!$C$2:$C$200</formula1>
    </dataValidation>
    <dataValidation type="list" allowBlank="1" sqref="G2:G1006 I2:I1006">
      <formula1>Settings!$B$2:$B$200</formula1>
    </dataValidation>
    <dataValidation type="list" allowBlank="1" sqref="C2:C1006">
      <formula1>Settings!$A$2:$A$200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4" width="14.0"/>
    <col customWidth="1" min="5" max="5" width="15.57"/>
    <col customWidth="1" min="6" max="6" width="16.0"/>
    <col customWidth="1" min="7" max="7" width="10.0"/>
    <col customWidth="1" min="8" max="8" width="13.14"/>
    <col customWidth="1" min="9" max="9" width="18.57"/>
    <col customWidth="1" min="10" max="10" width="14.29"/>
    <col customWidth="1" min="11" max="11" width="14.57"/>
    <col customWidth="1" min="12" max="23" width="9.0"/>
  </cols>
  <sheetData>
    <row r="1" ht="13.5" customHeight="1">
      <c r="A1" s="7" t="s">
        <v>2</v>
      </c>
      <c r="B1" s="7" t="s">
        <v>4</v>
      </c>
      <c r="C1" s="7" t="s">
        <v>9</v>
      </c>
      <c r="E1" s="7" t="s">
        <v>10</v>
      </c>
      <c r="F1" s="7" t="s">
        <v>4</v>
      </c>
      <c r="G1" s="4"/>
      <c r="H1" s="7" t="s">
        <v>1</v>
      </c>
      <c r="I1" s="7" t="s">
        <v>5</v>
      </c>
      <c r="J1" s="7" t="s">
        <v>4</v>
      </c>
      <c r="K1" s="7" t="s">
        <v>124</v>
      </c>
    </row>
    <row r="2" ht="13.5" customHeight="1">
      <c r="A2" s="8" t="str">
        <f>IF(Settings!A3="","",Settings!A3)</f>
        <v>Land &amp; Permits</v>
      </c>
      <c r="B2" s="9">
        <f>IF($A2="","",SUMIF(Details!$C:$C,$A2,Details!$E:$E))</f>
        <v>0</v>
      </c>
      <c r="C2" s="8" t="str">
        <f t="shared" ref="C2:C198" si="1">IF($A2="","",IF(B2=0,"Not Started",IF(B2&lt;#REF!,"In Progress","Completed")))</f>
        <v>Not Started</v>
      </c>
      <c r="E2" s="8" t="str">
        <f>IF(Settings!D2="","",Settings!D2)</f>
        <v>Material</v>
      </c>
      <c r="F2" s="9">
        <f>IF($E2="","",SUMIF(Details!$K:$K,$E2,Details!$E:$E))</f>
        <v>2627200</v>
      </c>
      <c r="G2" s="4"/>
      <c r="I2" s="9" t="str">
        <f>IF(H2="","",Details!$F2)</f>
        <v/>
      </c>
      <c r="J2" s="9"/>
      <c r="K2" s="9" t="str">
        <f>IF(H2="","",I2-J2)</f>
        <v/>
      </c>
    </row>
    <row r="3" ht="13.5" customHeight="1">
      <c r="A3" s="8" t="str">
        <f>IF(Settings!A4="","",Settings!A4)</f>
        <v>Foundation</v>
      </c>
      <c r="B3" s="9">
        <f>IF($A3="","",SUMIF(Details!$C:$C,$A3,Details!$E:$E))</f>
        <v>1026500</v>
      </c>
      <c r="C3" s="8" t="str">
        <f t="shared" si="1"/>
        <v>#REF!</v>
      </c>
      <c r="E3" s="8" t="str">
        <f>IF(Settings!D3="","",Settings!D3)</f>
        <v>Manpower</v>
      </c>
      <c r="F3" s="9"/>
      <c r="G3" s="4"/>
      <c r="I3" s="9"/>
      <c r="J3" s="9" t="str">
        <f>IF(H3="","",Details!$E3)</f>
        <v/>
      </c>
      <c r="K3" s="9" t="str">
        <f t="shared" ref="K3:K13" si="2">IF(H3="","",K2+I3-J3)</f>
        <v/>
      </c>
    </row>
    <row r="4" ht="13.5" customHeight="1">
      <c r="A4" s="8" t="str">
        <f>IF(Settings!A5="","",Settings!A5)</f>
        <v>Structure / Walls</v>
      </c>
      <c r="B4" s="9">
        <f>IF($A4="","",SUMIF(Details!$C:$C,$A4,Details!$E:$E))</f>
        <v>4928600</v>
      </c>
      <c r="C4" s="8" t="str">
        <f t="shared" si="1"/>
        <v>#REF!</v>
      </c>
      <c r="E4" s="8" t="str">
        <f>IF(Settings!D4="","",Settings!D4)</f>
        <v>Other</v>
      </c>
      <c r="F4" s="9">
        <f>IF($E4="","",SUMIF(Details!$K:$K,$E4,Details!$E:$E))</f>
        <v>0</v>
      </c>
      <c r="G4" s="4"/>
      <c r="H4" s="8" t="str">
        <f>IF(Details!$B4="","",Details!$B4)</f>
        <v>19/8/2025</v>
      </c>
      <c r="I4" s="9" t="str">
        <f>IF(H4="","",Details!$F4)</f>
        <v/>
      </c>
      <c r="J4" s="9">
        <f>IF(H4="","",Details!$E4)</f>
        <v>2000</v>
      </c>
      <c r="K4" s="9">
        <f t="shared" si="2"/>
        <v>-2000</v>
      </c>
    </row>
    <row r="5" ht="13.5" customHeight="1">
      <c r="A5" s="8" t="str">
        <f>IF(Settings!A6="","",Settings!A6)</f>
        <v>Roofing</v>
      </c>
      <c r="B5" s="9">
        <f>IF($A5="","",SUMIF(Details!$C:$C,$A5,Details!$E:$E))</f>
        <v>0</v>
      </c>
      <c r="C5" s="8" t="str">
        <f t="shared" si="1"/>
        <v>Not Started</v>
      </c>
      <c r="D5" s="4"/>
      <c r="E5" s="10" t="s">
        <v>33</v>
      </c>
      <c r="F5" s="11">
        <f>IF($E5="","",SUMIF(Details!$K:$K,$E5,Details!$E:$E))</f>
        <v>0</v>
      </c>
      <c r="G5" s="4"/>
      <c r="H5" s="8" t="str">
        <f>IF(Details!$B5="","",Details!$B5)</f>
        <v>19/8/2025</v>
      </c>
      <c r="I5" s="9" t="str">
        <f>IF(H5="","",Details!$F5)</f>
        <v/>
      </c>
      <c r="J5" s="9">
        <f>IF(H5="","",Details!$E5)</f>
        <v>500</v>
      </c>
      <c r="K5" s="9">
        <f t="shared" si="2"/>
        <v>-2500</v>
      </c>
    </row>
    <row r="6" ht="13.5" customHeight="1">
      <c r="A6" s="8" t="str">
        <f>IF(Settings!A7="","",Settings!A7)</f>
        <v>Doors &amp; Windows</v>
      </c>
      <c r="B6" s="9">
        <f>IF($A6="","",SUMIF(Details!$C:$C,$A6,Details!$E:$E))</f>
        <v>0</v>
      </c>
      <c r="C6" s="8" t="str">
        <f t="shared" si="1"/>
        <v>Not Started</v>
      </c>
      <c r="E6" s="10" t="s">
        <v>35</v>
      </c>
      <c r="F6" s="11">
        <f>IF($E6="","",SUMIF(Details!$K:$K,$E6,Details!$E:$E))</f>
        <v>124500</v>
      </c>
      <c r="G6" s="4"/>
      <c r="H6" s="8" t="str">
        <f>IF(Details!$B6="","",Details!$B6)</f>
        <v>19/8/2025</v>
      </c>
      <c r="I6" s="9" t="str">
        <f>IF(H6="","",Details!$F6)</f>
        <v/>
      </c>
      <c r="J6" s="9">
        <f>IF(H6="","",Details!$E6)</f>
        <v>8000</v>
      </c>
      <c r="K6" s="9">
        <f t="shared" si="2"/>
        <v>-10500</v>
      </c>
    </row>
    <row r="7" ht="13.5" customHeight="1">
      <c r="A7" s="8" t="str">
        <f>IF(Settings!A8="","",Settings!A8)</f>
        <v>Electrical</v>
      </c>
      <c r="B7" s="9">
        <f>IF($A7="","",SUMIF(Details!$C:$C,$A7,Details!$E:$E))</f>
        <v>2000</v>
      </c>
      <c r="C7" s="8" t="str">
        <f t="shared" si="1"/>
        <v>#REF!</v>
      </c>
      <c r="E7" s="8" t="str">
        <f>IF(Settings!D7="","",Settings!D7)</f>
        <v>Repairing</v>
      </c>
      <c r="F7" s="11">
        <f>IF($E7="","",SUMIF(Details!$K:$K,$E7,Details!$E:$E))</f>
        <v>26000</v>
      </c>
      <c r="G7" s="4"/>
      <c r="H7" s="8" t="str">
        <f>IF(Details!$B7="","",Details!$B7)</f>
        <v>19/8/2025</v>
      </c>
      <c r="I7" s="9" t="str">
        <f>IF(H7="","",Details!$F7)</f>
        <v/>
      </c>
      <c r="J7" s="9">
        <f>IF(H7="","",Details!$E7)</f>
        <v>25000</v>
      </c>
      <c r="K7" s="9">
        <f t="shared" si="2"/>
        <v>-35500</v>
      </c>
    </row>
    <row r="8" ht="13.5" customHeight="1">
      <c r="A8" s="8" t="str">
        <f>IF(Settings!A9="","",Settings!A9)</f>
        <v>Plumbing</v>
      </c>
      <c r="B8" s="9">
        <f>IF($A8="","",SUMIF(Details!$C:$C,$A8,Details!$E:$E))</f>
        <v>0</v>
      </c>
      <c r="C8" s="8" t="str">
        <f t="shared" si="1"/>
        <v>Not Started</v>
      </c>
      <c r="D8" s="4"/>
      <c r="E8" s="4"/>
      <c r="F8" s="4"/>
      <c r="G8" s="4"/>
      <c r="H8" s="8" t="str">
        <f>IF(Details!$B8="","",Details!$B8)</f>
        <v>20/8/2025</v>
      </c>
      <c r="I8" s="9">
        <f>IF(H8="","",Details!$F8)</f>
        <v>100000</v>
      </c>
      <c r="J8" s="9" t="str">
        <f>IF(H8="","",Details!$E8)</f>
        <v/>
      </c>
      <c r="K8" s="9">
        <f t="shared" si="2"/>
        <v>64500</v>
      </c>
    </row>
    <row r="9" ht="13.5" customHeight="1">
      <c r="A9" s="8" t="str">
        <f>IF(Settings!A10="","",Settings!A10)</f>
        <v>Finishes (Interior)</v>
      </c>
      <c r="B9" s="9">
        <f>IF($A9="","",SUMIF(Details!$C:$C,$A9,Details!$E:$E))</f>
        <v>0</v>
      </c>
      <c r="C9" s="8" t="str">
        <f t="shared" si="1"/>
        <v>Not Started</v>
      </c>
      <c r="D9" s="4"/>
      <c r="E9" s="4"/>
      <c r="F9" s="4"/>
      <c r="G9" s="4"/>
      <c r="H9" s="8" t="str">
        <f>IF(Details!$B9="","",Details!$B9)</f>
        <v>20/8/2025</v>
      </c>
      <c r="I9" s="9" t="str">
        <f>IF(H9="","",Details!$F9)</f>
        <v/>
      </c>
      <c r="J9" s="9">
        <f>IF(H9="","",Details!$E9)</f>
        <v>800</v>
      </c>
      <c r="K9" s="9">
        <f t="shared" si="2"/>
        <v>63700</v>
      </c>
    </row>
    <row r="10" ht="13.5" customHeight="1">
      <c r="A10" s="8" t="str">
        <f>IF(Settings!A11="","",Settings!A11)</f>
        <v>Finishes (Exterior)</v>
      </c>
      <c r="B10" s="9">
        <f>IF($A10="","",SUMIF(Details!$C:$C,$A10,Details!$E:$E))</f>
        <v>0</v>
      </c>
      <c r="C10" s="8" t="str">
        <f t="shared" si="1"/>
        <v>Not Started</v>
      </c>
      <c r="D10" s="4"/>
      <c r="E10" s="4"/>
      <c r="F10" s="4"/>
      <c r="G10" s="4"/>
      <c r="H10" s="8" t="str">
        <f>IF(Details!$B10="","",Details!$B10)</f>
        <v>20/8/2025</v>
      </c>
      <c r="I10" s="9" t="str">
        <f>IF(H10="","",Details!$F10)</f>
        <v/>
      </c>
      <c r="J10" s="9">
        <f>IF(H10="","",Details!$E10)</f>
        <v>1500</v>
      </c>
      <c r="K10" s="9">
        <f t="shared" si="2"/>
        <v>62200</v>
      </c>
    </row>
    <row r="11" ht="13.5" customHeight="1">
      <c r="A11" s="8" t="str">
        <f>IF(Settings!A12="","",Settings!A12)</f>
        <v>Landscaping</v>
      </c>
      <c r="B11" s="9">
        <f>IF($A11="","",SUMIF(Details!$C:$C,$A11,Details!$E:$E))</f>
        <v>0</v>
      </c>
      <c r="C11" s="8" t="str">
        <f t="shared" si="1"/>
        <v>Not Started</v>
      </c>
      <c r="D11" s="4"/>
      <c r="E11" s="4"/>
      <c r="F11" s="4"/>
      <c r="G11" s="4"/>
      <c r="H11" s="8" t="str">
        <f>IF(Details!$B11="","",Details!$B11)</f>
        <v>20/8/2025</v>
      </c>
      <c r="I11" s="9" t="str">
        <f>IF(H11="","",Details!$F11)</f>
        <v/>
      </c>
      <c r="J11" s="9">
        <f>IF(H11="","",Details!$E11)</f>
        <v>15000</v>
      </c>
      <c r="K11" s="9">
        <f t="shared" si="2"/>
        <v>47200</v>
      </c>
    </row>
    <row r="12" ht="13.5" customHeight="1">
      <c r="A12" s="8" t="str">
        <f>IF(Settings!A13="","",Settings!A13)</f>
        <v>Contingency</v>
      </c>
      <c r="B12" s="9">
        <f>IF($A12="","",SUMIF(Details!$C:$C,$A12,Details!$E:$E))</f>
        <v>0</v>
      </c>
      <c r="C12" s="8" t="str">
        <f t="shared" si="1"/>
        <v>Not Started</v>
      </c>
      <c r="D12" s="4"/>
      <c r="E12" s="4"/>
      <c r="F12" s="4"/>
      <c r="G12" s="4"/>
      <c r="H12" s="8" t="str">
        <f>IF(Details!$B12="","",Details!$B12)</f>
        <v>20/8/2025</v>
      </c>
      <c r="I12" s="9" t="str">
        <f>IF(H12="","",Details!$F12)</f>
        <v/>
      </c>
      <c r="J12" s="9">
        <f>IF(H12="","",Details!$E12)</f>
        <v>20000</v>
      </c>
      <c r="K12" s="9">
        <f t="shared" si="2"/>
        <v>27200</v>
      </c>
    </row>
    <row r="13" ht="13.5" customHeight="1">
      <c r="A13" s="8" t="str">
        <f>IF(Settings!A14="","",Settings!A14)</f>
        <v>Security</v>
      </c>
      <c r="B13" s="9">
        <f>IF($A13="","",SUMIF(Details!$C:$C,$A13,Details!$E:$E))</f>
        <v>135500</v>
      </c>
      <c r="C13" s="8" t="str">
        <f t="shared" si="1"/>
        <v>#REF!</v>
      </c>
      <c r="D13" s="4"/>
      <c r="E13" s="4"/>
      <c r="F13" s="4"/>
      <c r="G13" s="4"/>
      <c r="H13" s="8" t="str">
        <f>IF(Details!$B13="","",Details!$B13)</f>
        <v>21/8/2025</v>
      </c>
      <c r="I13" s="9" t="str">
        <f>IF(H13="","",Details!$F13)</f>
        <v/>
      </c>
      <c r="J13" s="9">
        <f>IF(H13="","",Details!$E13)</f>
        <v>15000</v>
      </c>
      <c r="K13" s="9">
        <f t="shared" si="2"/>
        <v>12200</v>
      </c>
    </row>
    <row r="14" ht="13.5" customHeight="1">
      <c r="A14" s="10" t="s">
        <v>30</v>
      </c>
      <c r="B14" s="9">
        <f>IF($A14="","",SUMIF(Details!$C:$C,$A14,Details!$E:$E))</f>
        <v>77000</v>
      </c>
      <c r="C14" s="8" t="str">
        <f t="shared" si="1"/>
        <v>#REF!</v>
      </c>
      <c r="D14" s="4"/>
      <c r="E14" s="4"/>
      <c r="F14" s="4"/>
      <c r="G14" s="4"/>
      <c r="H14" s="8" t="str">
        <f>IF(Details!$B15="","",Details!$B15)</f>
        <v>21/8/2025</v>
      </c>
      <c r="I14" s="9">
        <f>IF(H14="","",Details!$F15)</f>
        <v>200000</v>
      </c>
      <c r="J14" s="9" t="str">
        <f>IF(H14="","",Details!$E15)</f>
        <v/>
      </c>
      <c r="K14" s="9" t="str">
        <f>IF(H14="","",#REF!+I14-J14)</f>
        <v>#REF!</v>
      </c>
    </row>
    <row r="15" ht="13.5" customHeight="1">
      <c r="A15" s="10" t="s">
        <v>25</v>
      </c>
      <c r="B15" s="9">
        <f>IF($A15="","",SUMIF(Details!$C:$C,$A15,Details!$E:$E))</f>
        <v>330500</v>
      </c>
      <c r="C15" s="8" t="str">
        <f t="shared" si="1"/>
        <v>#REF!</v>
      </c>
      <c r="D15" s="4"/>
      <c r="E15" s="4"/>
      <c r="F15" s="4"/>
      <c r="G15" s="4"/>
      <c r="H15" s="8" t="str">
        <f>IF(Details!$B16="","",Details!$B16)</f>
        <v>22/8/2025</v>
      </c>
      <c r="I15" s="9" t="str">
        <f>IF(H15="","",Details!$F16)</f>
        <v/>
      </c>
      <c r="J15" s="9">
        <f>IF(H15="","",Details!$E16)</f>
        <v>9000</v>
      </c>
      <c r="K15" s="9" t="str">
        <f t="shared" ref="K15:K499" si="3">IF(H15="","",K14+I15-J15)</f>
        <v>#REF!</v>
      </c>
    </row>
    <row r="16" ht="13.5" customHeight="1">
      <c r="A16" s="10" t="s">
        <v>125</v>
      </c>
      <c r="B16" s="9">
        <f>IF($A16="","",SUMIF(Details!$C:$C,$A16,Details!$E:$E))</f>
        <v>0</v>
      </c>
      <c r="C16" s="8" t="str">
        <f t="shared" si="1"/>
        <v>Not Started</v>
      </c>
      <c r="D16" s="4"/>
      <c r="E16" s="4"/>
      <c r="F16" s="4"/>
      <c r="G16" s="4"/>
      <c r="H16" s="8" t="str">
        <f>IF(Details!$B17="","",Details!$B17)</f>
        <v>22/8/2025</v>
      </c>
      <c r="I16" s="9" t="str">
        <f>IF(H16="","",Details!$F17)</f>
        <v/>
      </c>
      <c r="J16" s="9">
        <f>IF(H16="","",Details!$E17)</f>
        <v>2000</v>
      </c>
      <c r="K16" s="9" t="str">
        <f t="shared" si="3"/>
        <v>#REF!</v>
      </c>
    </row>
    <row r="17" ht="13.5" customHeight="1">
      <c r="A17" s="8" t="str">
        <f>IF(Settings!A18="","",Settings!A18)</f>
        <v/>
      </c>
      <c r="B17" s="9" t="str">
        <f>IF($A17="","",SUMIF(Details!$C:$C,$A17,Details!$E:$E))</f>
        <v/>
      </c>
      <c r="C17" s="8" t="str">
        <f t="shared" si="1"/>
        <v/>
      </c>
      <c r="D17" s="4"/>
      <c r="E17" s="4"/>
      <c r="F17" s="4"/>
      <c r="G17" s="4"/>
      <c r="H17" s="8" t="str">
        <f>IF(Details!$B18="","",Details!$B18)</f>
        <v>22/8/205</v>
      </c>
      <c r="I17" s="9" t="str">
        <f>IF(H17="","",Details!$F18)</f>
        <v/>
      </c>
      <c r="J17" s="9">
        <f>IF(H17="","",Details!$E18)</f>
        <v>3000</v>
      </c>
      <c r="K17" s="9" t="str">
        <f t="shared" si="3"/>
        <v>#REF!</v>
      </c>
    </row>
    <row r="18" ht="13.5" customHeight="1">
      <c r="A18" s="8" t="str">
        <f>IF(Settings!A19="","",Settings!A19)</f>
        <v/>
      </c>
      <c r="B18" s="9" t="str">
        <f>IF($A18="","",SUMIF(Details!$C:$C,$A18,Details!$E:$E))</f>
        <v/>
      </c>
      <c r="C18" s="8" t="str">
        <f t="shared" si="1"/>
        <v/>
      </c>
      <c r="D18" s="4"/>
      <c r="E18" s="4"/>
      <c r="F18" s="4"/>
      <c r="G18" s="4"/>
      <c r="H18" s="8" t="str">
        <f>IF(Details!$B19="","",Details!$B19)</f>
        <v>22/8/2025</v>
      </c>
      <c r="I18" s="9" t="str">
        <f>IF(H18="","",Details!$F19)</f>
        <v/>
      </c>
      <c r="J18" s="9">
        <f>IF(H18="","",Details!$E19)</f>
        <v>1500</v>
      </c>
      <c r="K18" s="9" t="str">
        <f t="shared" si="3"/>
        <v>#REF!</v>
      </c>
    </row>
    <row r="19" ht="13.5" customHeight="1">
      <c r="A19" s="1" t="str">
        <f>IF(Settings!A20="","",Settings!A20)</f>
        <v/>
      </c>
      <c r="B19" s="1" t="str">
        <f>IF($A19="","",SUMIF(Details!$C:$C,$A19,Details!$E:$E))</f>
        <v/>
      </c>
      <c r="C19" s="1" t="str">
        <f t="shared" si="1"/>
        <v/>
      </c>
      <c r="D19" s="4"/>
      <c r="E19" s="4"/>
      <c r="F19" s="4"/>
      <c r="G19" s="4"/>
      <c r="H19" s="8" t="str">
        <f>IF(Details!$B20="","",Details!$B20)</f>
        <v>22/8/2025</v>
      </c>
      <c r="I19" s="9" t="str">
        <f>IF(H19="","",Details!$F20)</f>
        <v/>
      </c>
      <c r="J19" s="9">
        <f>IF(H19="","",Details!$E20)</f>
        <v>2000</v>
      </c>
      <c r="K19" s="9" t="str">
        <f t="shared" si="3"/>
        <v>#REF!</v>
      </c>
    </row>
    <row r="20" ht="13.5" customHeight="1">
      <c r="A20" s="1" t="str">
        <f>IF(Settings!A21="","",Settings!A21)</f>
        <v/>
      </c>
      <c r="B20" s="1" t="str">
        <f>IF($A20="","",SUMIF(Details!$C:$C,$A20,Details!$E:$E))</f>
        <v/>
      </c>
      <c r="C20" s="1" t="str">
        <f t="shared" si="1"/>
        <v/>
      </c>
      <c r="D20" s="4"/>
      <c r="E20" s="4"/>
      <c r="F20" s="4"/>
      <c r="G20" s="4"/>
      <c r="H20" s="8" t="str">
        <f>IF(Details!$B21="","",Details!$B21)</f>
        <v>22/8/2025</v>
      </c>
      <c r="I20" s="9" t="str">
        <f>IF(H20="","",Details!$F21)</f>
        <v/>
      </c>
      <c r="J20" s="9">
        <f>IF(H20="","",Details!$E21)</f>
        <v>25000</v>
      </c>
      <c r="K20" s="9" t="str">
        <f t="shared" si="3"/>
        <v>#REF!</v>
      </c>
    </row>
    <row r="21" ht="13.5" customHeight="1">
      <c r="A21" s="1" t="str">
        <f>IF(Settings!A22="","",Settings!A22)</f>
        <v/>
      </c>
      <c r="B21" s="1" t="str">
        <f>IF($A21="","",SUMIF(Details!$C:$C,$A21,Details!$E:$E))</f>
        <v/>
      </c>
      <c r="C21" s="1" t="str">
        <f t="shared" si="1"/>
        <v/>
      </c>
      <c r="D21" s="4"/>
      <c r="E21" s="4"/>
      <c r="F21" s="4"/>
      <c r="G21" s="4"/>
      <c r="H21" s="8" t="str">
        <f>IF(Details!$B22="","",Details!$B22)</f>
        <v>22/8/205</v>
      </c>
      <c r="I21" s="9" t="str">
        <f>IF(H21="","",Details!$F22)</f>
        <v/>
      </c>
      <c r="J21" s="9">
        <f>IF(H21="","",Details!$E22)</f>
        <v>15000</v>
      </c>
      <c r="K21" s="9" t="str">
        <f t="shared" si="3"/>
        <v>#REF!</v>
      </c>
    </row>
    <row r="22" ht="13.5" customHeight="1">
      <c r="A22" s="1" t="str">
        <f>IF(Settings!A23="","",Settings!A23)</f>
        <v/>
      </c>
      <c r="B22" s="1" t="str">
        <f>IF($A22="","",SUMIF(Details!$C:$C,$A22,Details!$E:$E))</f>
        <v/>
      </c>
      <c r="C22" s="1" t="str">
        <f t="shared" si="1"/>
        <v/>
      </c>
      <c r="D22" s="4"/>
      <c r="E22" s="4"/>
      <c r="F22" s="4"/>
      <c r="G22" s="4"/>
      <c r="H22" s="8" t="str">
        <f>IF(Details!$B23="","",Details!$B23)</f>
        <v>22/8/2025</v>
      </c>
      <c r="I22" s="9">
        <f>IF(H22="","",Details!$F23)</f>
        <v>150000</v>
      </c>
      <c r="J22" s="9">
        <f>IF(H22="","",Details!$E23)</f>
        <v>150000</v>
      </c>
      <c r="K22" s="9" t="str">
        <f t="shared" si="3"/>
        <v>#REF!</v>
      </c>
    </row>
    <row r="23" ht="13.5" customHeight="1">
      <c r="A23" s="1" t="str">
        <f>IF(Settings!A24="","",Settings!A24)</f>
        <v/>
      </c>
      <c r="B23" s="1" t="str">
        <f>IF($A23="","",SUMIF(Details!$C:$C,$A23,Details!$E:$E))</f>
        <v/>
      </c>
      <c r="C23" s="1" t="str">
        <f t="shared" si="1"/>
        <v/>
      </c>
      <c r="D23" s="4"/>
      <c r="E23" s="4"/>
      <c r="F23" s="4"/>
      <c r="G23" s="4"/>
      <c r="H23" s="8" t="str">
        <f>IF(Details!$B24="","",Details!$B24)</f>
        <v>23/8/2025</v>
      </c>
      <c r="I23" s="9" t="str">
        <f>IF(H23="","",Details!$F24)</f>
        <v/>
      </c>
      <c r="J23" s="9">
        <f>IF(H23="","",Details!$E24)</f>
        <v>1000</v>
      </c>
      <c r="K23" s="9" t="str">
        <f t="shared" si="3"/>
        <v>#REF!</v>
      </c>
    </row>
    <row r="24" ht="13.5" customHeight="1">
      <c r="A24" s="1" t="str">
        <f>IF(Settings!A25="","",Settings!A25)</f>
        <v/>
      </c>
      <c r="B24" s="1" t="str">
        <f>IF($A24="","",SUMIF(Details!$C:$C,$A24,Details!$E:$E))</f>
        <v/>
      </c>
      <c r="C24" s="1" t="str">
        <f t="shared" si="1"/>
        <v/>
      </c>
      <c r="D24" s="4"/>
      <c r="E24" s="4"/>
      <c r="F24" s="4"/>
      <c r="G24" s="4"/>
      <c r="H24" s="8" t="str">
        <f>IF(Details!$B25="","",Details!$B25)</f>
        <v>23/8/2025</v>
      </c>
      <c r="I24" s="9" t="str">
        <f>IF(H24="","",Details!$F25)</f>
        <v/>
      </c>
      <c r="J24" s="9">
        <f>IF(H24="","",Details!$E25)</f>
        <v>1500</v>
      </c>
      <c r="K24" s="9" t="str">
        <f t="shared" si="3"/>
        <v>#REF!</v>
      </c>
    </row>
    <row r="25" ht="13.5" customHeight="1">
      <c r="A25" s="1" t="str">
        <f>IF(Settings!A26="","",Settings!A26)</f>
        <v/>
      </c>
      <c r="B25" s="1" t="str">
        <f>IF($A25="","",SUMIF(Details!$C:$C,$A25,Details!$E:$E))</f>
        <v/>
      </c>
      <c r="C25" s="1" t="str">
        <f t="shared" si="1"/>
        <v/>
      </c>
      <c r="D25" s="4"/>
      <c r="E25" s="4"/>
      <c r="F25" s="4"/>
      <c r="G25" s="4"/>
      <c r="H25" s="8" t="str">
        <f>IF(Details!$B26="","",Details!$B26)</f>
        <v>23/8/2025</v>
      </c>
      <c r="I25" s="9" t="str">
        <f>IF(H25="","",Details!$F26)</f>
        <v/>
      </c>
      <c r="J25" s="9">
        <f>IF(H25="","",Details!$E26)</f>
        <v>35000</v>
      </c>
      <c r="K25" s="9" t="str">
        <f t="shared" si="3"/>
        <v>#REF!</v>
      </c>
    </row>
    <row r="26" ht="13.5" customHeight="1">
      <c r="A26" s="1" t="str">
        <f>IF(Settings!A27="","",Settings!A27)</f>
        <v/>
      </c>
      <c r="B26" s="1" t="str">
        <f>IF($A26="","",SUMIF(Details!$C:$C,$A26,Details!$E:$E))</f>
        <v/>
      </c>
      <c r="C26" s="1" t="str">
        <f t="shared" si="1"/>
        <v/>
      </c>
      <c r="D26" s="4"/>
      <c r="E26" s="4"/>
      <c r="F26" s="4"/>
      <c r="G26" s="4"/>
      <c r="H26" s="8" t="str">
        <f>IF(Details!$B27="","",Details!$B27)</f>
        <v>23/8/2025</v>
      </c>
      <c r="I26" s="9" t="str">
        <f>IF(H26="","",Details!$F27)</f>
        <v/>
      </c>
      <c r="J26" s="9">
        <f>IF(H26="","",Details!$E27)</f>
        <v>15000</v>
      </c>
      <c r="K26" s="9" t="str">
        <f t="shared" si="3"/>
        <v>#REF!</v>
      </c>
    </row>
    <row r="27" ht="13.5" customHeight="1">
      <c r="A27" s="1" t="str">
        <f>IF(Settings!A28="","",Settings!A28)</f>
        <v/>
      </c>
      <c r="B27" s="1" t="str">
        <f>IF($A27="","",SUMIF(Details!$C:$C,$A27,Details!$E:$E))</f>
        <v/>
      </c>
      <c r="C27" s="1" t="str">
        <f t="shared" si="1"/>
        <v/>
      </c>
      <c r="D27" s="4"/>
      <c r="E27" s="4"/>
      <c r="F27" s="4"/>
      <c r="G27" s="4"/>
      <c r="H27" s="8" t="str">
        <f>IF(Details!$B28="","",Details!$B28)</f>
        <v>24/8/2025</v>
      </c>
      <c r="I27" s="9" t="str">
        <f>IF(H27="","",Details!$F28)</f>
        <v/>
      </c>
      <c r="J27" s="9">
        <f>IF(H27="","",Details!$E28)</f>
        <v>30000</v>
      </c>
      <c r="K27" s="9" t="str">
        <f t="shared" si="3"/>
        <v>#REF!</v>
      </c>
    </row>
    <row r="28" ht="13.5" customHeight="1">
      <c r="A28" s="1" t="str">
        <f>IF(Settings!A29="","",Settings!A29)</f>
        <v/>
      </c>
      <c r="B28" s="1" t="str">
        <f>IF($A28="","",SUMIF(Details!$C:$C,$A28,Details!$E:$E))</f>
        <v/>
      </c>
      <c r="C28" s="1" t="str">
        <f t="shared" si="1"/>
        <v/>
      </c>
      <c r="D28" s="4"/>
      <c r="E28" s="4"/>
      <c r="F28" s="4"/>
      <c r="G28" s="4"/>
      <c r="H28" s="8" t="str">
        <f>IF(Details!$B29="","",Details!$B29)</f>
        <v>24/8/2025</v>
      </c>
      <c r="I28" s="9" t="str">
        <f>IF(H28="","",Details!$F29)</f>
        <v/>
      </c>
      <c r="J28" s="9">
        <f>IF(H28="","",Details!$E29)</f>
        <v>3000</v>
      </c>
      <c r="K28" s="9" t="str">
        <f t="shared" si="3"/>
        <v>#REF!</v>
      </c>
    </row>
    <row r="29" ht="13.5" customHeight="1">
      <c r="A29" s="1" t="str">
        <f>IF(Settings!A30="","",Settings!A30)</f>
        <v/>
      </c>
      <c r="B29" s="1" t="str">
        <f>IF($A29="","",SUMIF(Details!$C:$C,$A29,Details!$E:$E))</f>
        <v/>
      </c>
      <c r="C29" s="1" t="str">
        <f t="shared" si="1"/>
        <v/>
      </c>
      <c r="D29" s="4"/>
      <c r="E29" s="4"/>
      <c r="F29" s="4"/>
      <c r="G29" s="4"/>
      <c r="H29" s="8" t="str">
        <f>IF(Details!$B30="","",Details!$B30)</f>
        <v>26/8/2025</v>
      </c>
      <c r="I29" s="9" t="str">
        <f>IF(H29="","",Details!$F30)</f>
        <v/>
      </c>
      <c r="J29" s="9">
        <f>IF(H29="","",Details!$E30)</f>
        <v>7600</v>
      </c>
      <c r="K29" s="9" t="str">
        <f t="shared" si="3"/>
        <v>#REF!</v>
      </c>
    </row>
    <row r="30" ht="13.5" customHeight="1">
      <c r="A30" s="1" t="str">
        <f>IF(Settings!A31="","",Settings!A31)</f>
        <v/>
      </c>
      <c r="B30" s="1" t="str">
        <f>IF($A30="","",SUMIF(Details!$C:$C,$A30,Details!$E:$E))</f>
        <v/>
      </c>
      <c r="C30" s="1" t="str">
        <f t="shared" si="1"/>
        <v/>
      </c>
      <c r="D30" s="4"/>
      <c r="E30" s="4"/>
      <c r="F30" s="4"/>
      <c r="G30" s="4"/>
      <c r="H30" s="8" t="str">
        <f>IF(Details!$B31="","",Details!$B31)</f>
        <v>26/8/2025</v>
      </c>
      <c r="I30" s="9" t="str">
        <f>IF(H30="","",Details!$F31)</f>
        <v/>
      </c>
      <c r="J30" s="9">
        <f>IF(H30="","",Details!$E31)</f>
        <v>3000</v>
      </c>
      <c r="K30" s="9" t="str">
        <f t="shared" si="3"/>
        <v>#REF!</v>
      </c>
    </row>
    <row r="31" ht="13.5" customHeight="1">
      <c r="A31" s="1" t="str">
        <f>IF(Settings!A32="","",Settings!A32)</f>
        <v/>
      </c>
      <c r="B31" s="1" t="str">
        <f>IF($A31="","",SUMIF(Details!$C:$C,$A31,Details!$E:$E))</f>
        <v/>
      </c>
      <c r="C31" s="1" t="str">
        <f t="shared" si="1"/>
        <v/>
      </c>
      <c r="D31" s="4"/>
      <c r="E31" s="4"/>
      <c r="F31" s="4"/>
      <c r="G31" s="4"/>
      <c r="H31" s="8" t="str">
        <f>IF(Details!$B32="","",Details!$B32)</f>
        <v>26/8/2025</v>
      </c>
      <c r="I31" s="9" t="str">
        <f>IF(H31="","",Details!$F32)</f>
        <v/>
      </c>
      <c r="J31" s="9">
        <f>IF(H31="","",Details!$E32)</f>
        <v>1500</v>
      </c>
      <c r="K31" s="9" t="str">
        <f t="shared" si="3"/>
        <v>#REF!</v>
      </c>
    </row>
    <row r="32" ht="13.5" customHeight="1">
      <c r="A32" s="1" t="str">
        <f>IF(Settings!A33="","",Settings!A33)</f>
        <v/>
      </c>
      <c r="B32" s="1" t="str">
        <f>IF($A32="","",SUMIF(Details!$C:$C,$A32,Details!$E:$E))</f>
        <v/>
      </c>
      <c r="C32" s="1" t="str">
        <f t="shared" si="1"/>
        <v/>
      </c>
      <c r="D32" s="4"/>
      <c r="E32" s="4"/>
      <c r="F32" s="4"/>
      <c r="G32" s="4"/>
      <c r="H32" s="8" t="str">
        <f>IF(Details!$B33="","",Details!$B33)</f>
        <v>26/8/2025</v>
      </c>
      <c r="I32" s="9" t="str">
        <f>IF(H32="","",Details!$F33)</f>
        <v/>
      </c>
      <c r="J32" s="9">
        <f>IF(H32="","",Details!$E33)</f>
        <v>30000</v>
      </c>
      <c r="K32" s="9" t="str">
        <f t="shared" si="3"/>
        <v>#REF!</v>
      </c>
    </row>
    <row r="33" ht="13.5" customHeight="1">
      <c r="A33" s="1" t="str">
        <f>IF(Settings!A34="","",Settings!A34)</f>
        <v/>
      </c>
      <c r="B33" s="1" t="str">
        <f>IF($A33="","",SUMIF(Details!$C:$C,$A33,Details!$E:$E))</f>
        <v/>
      </c>
      <c r="C33" s="1" t="str">
        <f t="shared" si="1"/>
        <v/>
      </c>
      <c r="D33" s="4"/>
      <c r="E33" s="4"/>
      <c r="F33" s="4"/>
      <c r="G33" s="4"/>
      <c r="H33" s="8" t="str">
        <f>IF(Details!$B35="","",Details!$B35)</f>
        <v>26/8/2025</v>
      </c>
      <c r="I33" s="9" t="str">
        <f>IF(H33="","",Details!$F35)</f>
        <v/>
      </c>
      <c r="J33" s="9">
        <f>IF(H33="","",Details!$E35)</f>
        <v>15000</v>
      </c>
      <c r="K33" s="9" t="str">
        <f t="shared" si="3"/>
        <v>#REF!</v>
      </c>
    </row>
    <row r="34" ht="13.5" customHeight="1">
      <c r="A34" s="1" t="str">
        <f>IF(Settings!A35="","",Settings!A35)</f>
        <v/>
      </c>
      <c r="B34" s="1" t="str">
        <f>IF($A34="","",SUMIF(Details!$C:$C,$A34,Details!$E:$E))</f>
        <v/>
      </c>
      <c r="C34" s="1" t="str">
        <f t="shared" si="1"/>
        <v/>
      </c>
      <c r="D34" s="4"/>
      <c r="E34" s="4"/>
      <c r="F34" s="4"/>
      <c r="G34" s="4"/>
      <c r="H34" s="8" t="str">
        <f>IF(Details!$B37="","",Details!$B37)</f>
        <v>28/8/2025</v>
      </c>
      <c r="I34" s="9" t="str">
        <f>IF(H34="","",Details!$F37)</f>
        <v/>
      </c>
      <c r="J34" s="9">
        <f>IF(H34="","",Details!$E37)</f>
        <v>22200</v>
      </c>
      <c r="K34" s="9" t="str">
        <f t="shared" si="3"/>
        <v>#REF!</v>
      </c>
    </row>
    <row r="35" ht="13.5" customHeight="1">
      <c r="A35" s="1" t="str">
        <f>IF(Settings!A36="","",Settings!A36)</f>
        <v/>
      </c>
      <c r="B35" s="1" t="str">
        <f>IF($A35="","",SUMIF(Details!$C:$C,$A35,Details!$E:$E))</f>
        <v/>
      </c>
      <c r="C35" s="1" t="str">
        <f t="shared" si="1"/>
        <v/>
      </c>
      <c r="D35" s="4"/>
      <c r="E35" s="4"/>
      <c r="F35" s="4"/>
      <c r="G35" s="4"/>
      <c r="H35" s="8" t="str">
        <f>IF(Details!$B38="","",Details!$B38)</f>
        <v>28/8/2025</v>
      </c>
      <c r="I35" s="9" t="str">
        <f>IF(H35="","",Details!$F38)</f>
        <v/>
      </c>
      <c r="J35" s="9">
        <f>IF(H35="","",Details!$E38)</f>
        <v>6000</v>
      </c>
      <c r="K35" s="9" t="str">
        <f t="shared" si="3"/>
        <v>#REF!</v>
      </c>
    </row>
    <row r="36" ht="13.5" customHeight="1">
      <c r="A36" s="1" t="str">
        <f>IF(Settings!A37="","",Settings!A37)</f>
        <v/>
      </c>
      <c r="B36" s="1" t="str">
        <f>IF($A36="","",SUMIF(Details!$C:$C,$A36,Details!$E:$E))</f>
        <v/>
      </c>
      <c r="C36" s="1" t="str">
        <f t="shared" si="1"/>
        <v/>
      </c>
      <c r="D36" s="4"/>
      <c r="E36" s="4"/>
      <c r="F36" s="4"/>
      <c r="G36" s="4"/>
      <c r="H36" s="8" t="str">
        <f>IF(Details!$B39="","",Details!$B39)</f>
        <v>28/8/2025</v>
      </c>
      <c r="I36" s="9" t="str">
        <f>IF(H36="","",Details!$F39)</f>
        <v/>
      </c>
      <c r="J36" s="9">
        <f>IF(H36="","",Details!$E39)</f>
        <v>3000</v>
      </c>
      <c r="K36" s="9" t="str">
        <f t="shared" si="3"/>
        <v>#REF!</v>
      </c>
    </row>
    <row r="37" ht="13.5" customHeight="1">
      <c r="A37" s="1" t="str">
        <f>IF(Settings!A38="","",Settings!A38)</f>
        <v/>
      </c>
      <c r="B37" s="1" t="str">
        <f>IF($A37="","",SUMIF(Details!$C:$C,$A37,Details!$E:$E))</f>
        <v/>
      </c>
      <c r="C37" s="1" t="str">
        <f t="shared" si="1"/>
        <v/>
      </c>
      <c r="D37" s="4"/>
      <c r="E37" s="4"/>
      <c r="F37" s="4"/>
      <c r="G37" s="4"/>
      <c r="H37" s="8" t="str">
        <f>IF(Details!$B40="","",Details!$B40)</f>
        <v>28/8/2025</v>
      </c>
      <c r="I37" s="9" t="str">
        <f>IF(H37="","",Details!$F40)</f>
        <v/>
      </c>
      <c r="J37" s="9">
        <f>IF(H37="","",Details!$E40)</f>
        <v>5000</v>
      </c>
      <c r="K37" s="9" t="str">
        <f t="shared" si="3"/>
        <v>#REF!</v>
      </c>
    </row>
    <row r="38" ht="13.5" customHeight="1">
      <c r="A38" s="1" t="str">
        <f>IF(Settings!A39="","",Settings!A39)</f>
        <v/>
      </c>
      <c r="B38" s="1" t="str">
        <f>IF($A38="","",SUMIF(Details!$C:$C,$A38,Details!$E:$E))</f>
        <v/>
      </c>
      <c r="C38" s="1" t="str">
        <f t="shared" si="1"/>
        <v/>
      </c>
      <c r="D38" s="4"/>
      <c r="E38" s="4"/>
      <c r="F38" s="4"/>
      <c r="G38" s="4"/>
      <c r="H38" s="8" t="str">
        <f>IF(Details!$B41="","",Details!$B41)</f>
        <v>28/8/2025</v>
      </c>
      <c r="I38" s="9" t="str">
        <f>IF(H38="","",Details!$F41)</f>
        <v/>
      </c>
      <c r="J38" s="9">
        <f>IF(H38="","",Details!$E41)</f>
        <v>1500</v>
      </c>
      <c r="K38" s="9" t="str">
        <f t="shared" si="3"/>
        <v>#REF!</v>
      </c>
    </row>
    <row r="39" ht="13.5" customHeight="1">
      <c r="A39" s="1" t="str">
        <f>IF(Settings!A40="","",Settings!A40)</f>
        <v/>
      </c>
      <c r="B39" s="1" t="str">
        <f>IF($A39="","",SUMIF(Details!$C:$C,$A39,Details!$E:$E))</f>
        <v/>
      </c>
      <c r="C39" s="1" t="str">
        <f t="shared" si="1"/>
        <v/>
      </c>
      <c r="D39" s="4"/>
      <c r="E39" s="4"/>
      <c r="F39" s="4"/>
      <c r="G39" s="4"/>
      <c r="H39" s="8" t="str">
        <f>IF(Details!$B42="","",Details!$B42)</f>
        <v>29/8/2025</v>
      </c>
      <c r="I39" s="9" t="str">
        <f>IF(H39="","",Details!$F42)</f>
        <v/>
      </c>
      <c r="J39" s="9">
        <f>IF(H39="","",Details!$E42)</f>
        <v>3500</v>
      </c>
      <c r="K39" s="9" t="str">
        <f t="shared" si="3"/>
        <v>#REF!</v>
      </c>
    </row>
    <row r="40" ht="13.5" customHeight="1">
      <c r="A40" s="1" t="str">
        <f>IF(Settings!A41="","",Settings!A41)</f>
        <v/>
      </c>
      <c r="B40" s="1" t="str">
        <f>IF($A40="","",SUMIF(Details!$C:$C,$A40,Details!$E:$E))</f>
        <v/>
      </c>
      <c r="C40" s="1" t="str">
        <f t="shared" si="1"/>
        <v/>
      </c>
      <c r="D40" s="4"/>
      <c r="E40" s="4"/>
      <c r="F40" s="4"/>
      <c r="G40" s="4"/>
      <c r="H40" s="8" t="str">
        <f>IF(Details!$B43="","",Details!$B43)</f>
        <v>29/8/2025</v>
      </c>
      <c r="I40" s="9" t="str">
        <f>IF(H40="","",Details!$F43)</f>
        <v/>
      </c>
      <c r="J40" s="9">
        <f>IF(H40="","",Details!$E43)</f>
        <v>15000</v>
      </c>
      <c r="K40" s="9" t="str">
        <f t="shared" si="3"/>
        <v>#REF!</v>
      </c>
    </row>
    <row r="41" ht="13.5" customHeight="1">
      <c r="A41" s="1" t="str">
        <f>IF(Settings!A42="","",Settings!A42)</f>
        <v/>
      </c>
      <c r="B41" s="1" t="str">
        <f>IF($A41="","",SUMIF(Details!$C:$C,$A41,Details!$E:$E))</f>
        <v/>
      </c>
      <c r="C41" s="1" t="str">
        <f t="shared" si="1"/>
        <v/>
      </c>
      <c r="D41" s="4"/>
      <c r="E41" s="4"/>
      <c r="F41" s="4"/>
      <c r="G41" s="4"/>
      <c r="H41" s="8" t="str">
        <f>IF(Details!$B44="","",Details!$B44)</f>
        <v>29/8/2025</v>
      </c>
      <c r="I41" s="9" t="str">
        <f>IF(H41="","",Details!$F44)</f>
        <v/>
      </c>
      <c r="J41" s="9">
        <f>IF(H41="","",Details!$E44)</f>
        <v>3000</v>
      </c>
      <c r="K41" s="9" t="str">
        <f t="shared" si="3"/>
        <v>#REF!</v>
      </c>
    </row>
    <row r="42" ht="13.5" customHeight="1">
      <c r="A42" s="1" t="str">
        <f>IF(Settings!A43="","",Settings!A43)</f>
        <v/>
      </c>
      <c r="B42" s="1" t="str">
        <f>IF($A42="","",SUMIF(Details!$C:$C,$A42,Details!$E:$E))</f>
        <v/>
      </c>
      <c r="C42" s="1" t="str">
        <f t="shared" si="1"/>
        <v/>
      </c>
      <c r="D42" s="4"/>
      <c r="E42" s="4"/>
      <c r="F42" s="4"/>
      <c r="G42" s="4"/>
      <c r="H42" s="8" t="str">
        <f>IF(Details!$B45="","",Details!$B45)</f>
        <v>29/8/2025</v>
      </c>
      <c r="I42" s="9" t="str">
        <f>IF(H42="","",Details!$F45)</f>
        <v/>
      </c>
      <c r="J42" s="9">
        <f>IF(H42="","",Details!$E45)</f>
        <v>3000</v>
      </c>
      <c r="K42" s="9" t="str">
        <f t="shared" si="3"/>
        <v>#REF!</v>
      </c>
    </row>
    <row r="43" ht="13.5" customHeight="1">
      <c r="A43" s="1" t="str">
        <f>IF(Settings!A44="","",Settings!A44)</f>
        <v/>
      </c>
      <c r="B43" s="1" t="str">
        <f>IF($A43="","",SUMIF(Details!$C:$C,$A43,Details!$E:$E))</f>
        <v/>
      </c>
      <c r="C43" s="1" t="str">
        <f t="shared" si="1"/>
        <v/>
      </c>
      <c r="D43" s="4"/>
      <c r="E43" s="4"/>
      <c r="F43" s="4"/>
      <c r="G43" s="4"/>
      <c r="H43" s="8" t="str">
        <f>IF(Details!$B46="","",Details!$B46)</f>
        <v>29/8/2025</v>
      </c>
      <c r="I43" s="9" t="str">
        <f>IF(H43="","",Details!$F46)</f>
        <v/>
      </c>
      <c r="J43" s="9">
        <f>IF(H43="","",Details!$E46)</f>
        <v>51000</v>
      </c>
      <c r="K43" s="9" t="str">
        <f t="shared" si="3"/>
        <v>#REF!</v>
      </c>
    </row>
    <row r="44" ht="13.5" customHeight="1">
      <c r="A44" s="1" t="str">
        <f>IF(Settings!A45="","",Settings!A45)</f>
        <v/>
      </c>
      <c r="B44" s="1" t="str">
        <f>IF($A44="","",SUMIF(Details!$C:$C,$A44,Details!$E:$E))</f>
        <v/>
      </c>
      <c r="C44" s="1" t="str">
        <f t="shared" si="1"/>
        <v/>
      </c>
      <c r="D44" s="4"/>
      <c r="E44" s="4"/>
      <c r="F44" s="4"/>
      <c r="G44" s="4"/>
      <c r="H44" s="8" t="str">
        <f>IF(Details!$B47="","",Details!$B47)</f>
        <v>29/8/2025</v>
      </c>
      <c r="I44" s="9" t="str">
        <f>IF(H44="","",Details!$F47)</f>
        <v/>
      </c>
      <c r="J44" s="9">
        <f>IF(H44="","",Details!$E47)</f>
        <v>15000</v>
      </c>
      <c r="K44" s="9" t="str">
        <f t="shared" si="3"/>
        <v>#REF!</v>
      </c>
    </row>
    <row r="45" ht="13.5" customHeight="1">
      <c r="A45" s="1" t="str">
        <f>IF(Settings!A46="","",Settings!A46)</f>
        <v/>
      </c>
      <c r="B45" s="1" t="str">
        <f>IF($A45="","",SUMIF(Details!$C:$C,$A45,Details!$E:$E))</f>
        <v/>
      </c>
      <c r="C45" s="1" t="str">
        <f t="shared" si="1"/>
        <v/>
      </c>
      <c r="D45" s="4"/>
      <c r="E45" s="4"/>
      <c r="F45" s="4"/>
      <c r="G45" s="4"/>
      <c r="H45" s="1" t="str">
        <f>IF(Details!$B48="","",Details!$B48)</f>
        <v>29/8/2025</v>
      </c>
      <c r="I45" s="1" t="str">
        <f>IF(H45="","",Details!$F48)</f>
        <v/>
      </c>
      <c r="J45" s="1">
        <f>IF(H45="","",Details!$E48)</f>
        <v>20000</v>
      </c>
      <c r="K45" s="1" t="str">
        <f t="shared" si="3"/>
        <v>#REF!</v>
      </c>
    </row>
    <row r="46" ht="13.5" customHeight="1">
      <c r="A46" s="1" t="str">
        <f>IF(Settings!A47="","",Settings!A47)</f>
        <v/>
      </c>
      <c r="B46" s="1" t="str">
        <f>IF($A46="","",SUMIF(Details!$C:$C,$A46,Details!$E:$E))</f>
        <v/>
      </c>
      <c r="C46" s="1" t="str">
        <f t="shared" si="1"/>
        <v/>
      </c>
      <c r="D46" s="4"/>
      <c r="E46" s="4"/>
      <c r="F46" s="4"/>
      <c r="G46" s="4"/>
      <c r="H46" s="1" t="str">
        <f>IF(Details!$B49="","",Details!$B49)</f>
        <v>29/8/2025</v>
      </c>
      <c r="I46" s="1" t="str">
        <f>IF(H46="","",Details!$F49)</f>
        <v/>
      </c>
      <c r="J46" s="1">
        <f>IF(H46="","",Details!$E49)</f>
        <v>1500</v>
      </c>
      <c r="K46" s="1" t="str">
        <f t="shared" si="3"/>
        <v>#REF!</v>
      </c>
    </row>
    <row r="47" ht="13.5" customHeight="1">
      <c r="A47" s="1" t="str">
        <f>IF(Settings!A48="","",Settings!A48)</f>
        <v/>
      </c>
      <c r="B47" s="1" t="str">
        <f>IF($A47="","",SUMIF(Details!$C:$C,$A47,Details!$E:$E))</f>
        <v/>
      </c>
      <c r="C47" s="1" t="str">
        <f t="shared" si="1"/>
        <v/>
      </c>
      <c r="D47" s="4"/>
      <c r="E47" s="4"/>
      <c r="F47" s="4"/>
      <c r="G47" s="4"/>
      <c r="H47" s="1" t="str">
        <f>IF(Details!$B50="","",Details!$B50)</f>
        <v>29/8/2025</v>
      </c>
      <c r="I47" s="1" t="str">
        <f>IF(H47="","",Details!$F50)</f>
        <v/>
      </c>
      <c r="J47" s="1">
        <f>IF(H47="","",Details!$E50)</f>
        <v>2000</v>
      </c>
      <c r="K47" s="1" t="str">
        <f t="shared" si="3"/>
        <v>#REF!</v>
      </c>
    </row>
    <row r="48" ht="13.5" customHeight="1">
      <c r="A48" s="1" t="str">
        <f>IF(Settings!A49="","",Settings!A49)</f>
        <v/>
      </c>
      <c r="B48" s="1" t="str">
        <f>IF($A48="","",SUMIF(Details!$C:$C,$A48,Details!$E:$E))</f>
        <v/>
      </c>
      <c r="C48" s="1" t="str">
        <f t="shared" si="1"/>
        <v/>
      </c>
      <c r="D48" s="4"/>
      <c r="E48" s="4"/>
      <c r="F48" s="4"/>
      <c r="G48" s="4"/>
      <c r="H48" s="1" t="str">
        <f>IF(Details!$B51="","",Details!$B51)</f>
        <v>29/8/2025</v>
      </c>
      <c r="I48" s="1" t="str">
        <f>IF(H48="","",Details!$F51)</f>
        <v/>
      </c>
      <c r="J48" s="1">
        <f>IF(H48="","",Details!$E51)</f>
        <v>30000</v>
      </c>
      <c r="K48" s="1" t="str">
        <f t="shared" si="3"/>
        <v>#REF!</v>
      </c>
    </row>
    <row r="49" ht="13.5" customHeight="1">
      <c r="A49" s="1" t="str">
        <f>IF(Settings!A50="","",Settings!A50)</f>
        <v/>
      </c>
      <c r="B49" s="1" t="str">
        <f>IF($A49="","",SUMIF(Details!$C:$C,$A49,Details!$E:$E))</f>
        <v/>
      </c>
      <c r="C49" s="1" t="str">
        <f t="shared" si="1"/>
        <v/>
      </c>
      <c r="D49" s="4"/>
      <c r="E49" s="4"/>
      <c r="F49" s="4"/>
      <c r="G49" s="4"/>
      <c r="H49" s="1" t="str">
        <f>IF(Details!$B52="","",Details!$B52)</f>
        <v>26/10/2025</v>
      </c>
      <c r="I49" s="1">
        <f>IF(H49="","",Details!$F52)</f>
        <v>800000</v>
      </c>
      <c r="J49" s="1" t="str">
        <f>IF(H49="","",Details!$E52)</f>
        <v/>
      </c>
      <c r="K49" s="1" t="str">
        <f t="shared" si="3"/>
        <v>#REF!</v>
      </c>
    </row>
    <row r="50" ht="13.5" customHeight="1">
      <c r="A50" s="1" t="str">
        <f>IF(Settings!A51="","",Settings!A51)</f>
        <v/>
      </c>
      <c r="B50" s="1" t="str">
        <f>IF($A50="","",SUMIF(Details!$C:$C,$A50,Details!$E:$E))</f>
        <v/>
      </c>
      <c r="C50" s="1" t="str">
        <f t="shared" si="1"/>
        <v/>
      </c>
      <c r="D50" s="4"/>
      <c r="E50" s="4"/>
      <c r="F50" s="4"/>
      <c r="G50" s="4"/>
      <c r="H50" s="1" t="str">
        <f>IF(Details!$B53="","",Details!$B53)</f>
        <v>26/10/2025</v>
      </c>
      <c r="I50" s="1" t="str">
        <f>IF(H50="","",Details!$F53)</f>
        <v/>
      </c>
      <c r="J50" s="1">
        <f>IF(H50="","",Details!$E53)</f>
        <v>50000</v>
      </c>
      <c r="K50" s="1" t="str">
        <f t="shared" si="3"/>
        <v>#REF!</v>
      </c>
    </row>
    <row r="51" ht="13.5" customHeight="1">
      <c r="A51" s="1" t="str">
        <f>IF(Settings!A52="","",Settings!A52)</f>
        <v/>
      </c>
      <c r="B51" s="1" t="str">
        <f>IF($A51="","",SUMIF(Details!$C:$C,$A51,Details!$E:$E))</f>
        <v/>
      </c>
      <c r="C51" s="1" t="str">
        <f t="shared" si="1"/>
        <v/>
      </c>
      <c r="D51" s="4"/>
      <c r="E51" s="4"/>
      <c r="F51" s="4"/>
      <c r="G51" s="4"/>
      <c r="H51" s="1" t="str">
        <f>IF(Details!$B54="","",Details!$B54)</f>
        <v>26/10/2025</v>
      </c>
      <c r="I51" s="1" t="str">
        <f>IF(H51="","",Details!$F54)</f>
        <v/>
      </c>
      <c r="J51" s="1">
        <f>IF(H51="","",Details!$E54)</f>
        <v>10000</v>
      </c>
      <c r="K51" s="1" t="str">
        <f t="shared" si="3"/>
        <v>#REF!</v>
      </c>
    </row>
    <row r="52" ht="13.5" customHeight="1">
      <c r="A52" s="1" t="str">
        <f>IF(Settings!A53="","",Settings!A53)</f>
        <v/>
      </c>
      <c r="B52" s="1" t="str">
        <f>IF($A52="","",SUMIF(Details!$C:$C,$A52,Details!$E:$E))</f>
        <v/>
      </c>
      <c r="C52" s="1" t="str">
        <f t="shared" si="1"/>
        <v/>
      </c>
      <c r="D52" s="4"/>
      <c r="E52" s="4"/>
      <c r="F52" s="4"/>
      <c r="G52" s="4"/>
      <c r="H52" s="1" t="str">
        <f>IF(Details!$B55="","",Details!$B55)</f>
        <v>26/10/2025</v>
      </c>
      <c r="I52" s="1" t="str">
        <f>IF(H52="","",Details!$F55)</f>
        <v/>
      </c>
      <c r="J52" s="1">
        <f>IF(H52="","",Details!$E55)</f>
        <v>234000</v>
      </c>
      <c r="K52" s="1" t="str">
        <f t="shared" si="3"/>
        <v>#REF!</v>
      </c>
    </row>
    <row r="53" ht="13.5" customHeight="1">
      <c r="A53" s="1" t="str">
        <f>IF(Settings!A54="","",Settings!A54)</f>
        <v/>
      </c>
      <c r="B53" s="1" t="str">
        <f>IF($A53="","",SUMIF(Details!$C:$C,$A53,Details!$E:$E))</f>
        <v/>
      </c>
      <c r="C53" s="1" t="str">
        <f t="shared" si="1"/>
        <v/>
      </c>
      <c r="D53" s="4"/>
      <c r="E53" s="4"/>
      <c r="F53" s="4"/>
      <c r="G53" s="4"/>
      <c r="H53" s="1" t="str">
        <f>IF(Details!$B56="","",Details!$B56)</f>
        <v>26/10/2025</v>
      </c>
      <c r="I53" s="1" t="str">
        <f>IF(H53="","",Details!$F56)</f>
        <v/>
      </c>
      <c r="J53" s="1">
        <f>IF(H53="","",Details!$E56)</f>
        <v>8000</v>
      </c>
      <c r="K53" s="1" t="str">
        <f t="shared" si="3"/>
        <v>#REF!</v>
      </c>
    </row>
    <row r="54" ht="13.5" customHeight="1">
      <c r="A54" s="1" t="str">
        <f>IF(Settings!A55="","",Settings!A55)</f>
        <v/>
      </c>
      <c r="B54" s="1" t="str">
        <f>IF($A54="","",SUMIF(Details!$C:$C,$A54,Details!$E:$E))</f>
        <v/>
      </c>
      <c r="C54" s="1" t="str">
        <f t="shared" si="1"/>
        <v/>
      </c>
      <c r="D54" s="4"/>
      <c r="E54" s="4"/>
      <c r="F54" s="4"/>
      <c r="G54" s="4"/>
      <c r="H54" s="1" t="str">
        <f>IF(Details!$B57="","",Details!$B57)</f>
        <v>26/10/2025</v>
      </c>
      <c r="I54" s="1" t="str">
        <f>IF(H54="","",Details!$F57)</f>
        <v/>
      </c>
      <c r="J54" s="1">
        <f>IF(H54="","",Details!$E57)</f>
        <v>4000</v>
      </c>
      <c r="K54" s="1" t="str">
        <f t="shared" si="3"/>
        <v>#REF!</v>
      </c>
    </row>
    <row r="55" ht="13.5" customHeight="1">
      <c r="A55" s="1" t="str">
        <f>IF(Settings!A56="","",Settings!A56)</f>
        <v/>
      </c>
      <c r="B55" s="1" t="str">
        <f>IF($A55="","",SUMIF(Details!$C:$C,$A55,Details!$E:$E))</f>
        <v/>
      </c>
      <c r="C55" s="1" t="str">
        <f t="shared" si="1"/>
        <v/>
      </c>
      <c r="D55" s="4"/>
      <c r="E55" s="4"/>
      <c r="F55" s="4"/>
      <c r="G55" s="4"/>
      <c r="H55" s="1" t="str">
        <f>IF(Details!$B58="","",Details!$B58)</f>
        <v>26/10/205</v>
      </c>
      <c r="I55" s="1" t="str">
        <f>IF(H55="","",Details!$F58)</f>
        <v/>
      </c>
      <c r="J55" s="1">
        <f>IF(H55="","",Details!$E58)</f>
        <v>68000</v>
      </c>
      <c r="K55" s="1" t="str">
        <f t="shared" si="3"/>
        <v>#REF!</v>
      </c>
    </row>
    <row r="56" ht="13.5" customHeight="1">
      <c r="A56" s="1" t="str">
        <f>IF(Settings!A57="","",Settings!A57)</f>
        <v/>
      </c>
      <c r="B56" s="1" t="str">
        <f>IF($A56="","",SUMIF(Details!$C:$C,$A56,Details!$E:$E))</f>
        <v/>
      </c>
      <c r="C56" s="1" t="str">
        <f t="shared" si="1"/>
        <v/>
      </c>
      <c r="D56" s="4"/>
      <c r="E56" s="4"/>
      <c r="F56" s="4"/>
      <c r="G56" s="4"/>
      <c r="H56" s="1" t="str">
        <f>IF(Details!$B59="","",Details!$B59)</f>
        <v>26/10/2025</v>
      </c>
      <c r="I56" s="1" t="str">
        <f>IF(H56="","",Details!$F59)</f>
        <v/>
      </c>
      <c r="J56" s="1">
        <f>IF(H56="","",Details!$E59)</f>
        <v>50000</v>
      </c>
      <c r="K56" s="1" t="str">
        <f t="shared" si="3"/>
        <v>#REF!</v>
      </c>
    </row>
    <row r="57" ht="13.5" customHeight="1">
      <c r="A57" s="1" t="str">
        <f>IF(Settings!A58="","",Settings!A58)</f>
        <v/>
      </c>
      <c r="B57" s="1" t="str">
        <f>IF($A57="","",SUMIF(Details!$C:$C,$A57,Details!$E:$E))</f>
        <v/>
      </c>
      <c r="C57" s="1" t="str">
        <f t="shared" si="1"/>
        <v/>
      </c>
      <c r="D57" s="4"/>
      <c r="E57" s="4"/>
      <c r="F57" s="4"/>
      <c r="G57" s="4"/>
      <c r="H57" s="1" t="str">
        <f>IF(Details!$B60="","",Details!$B60)</f>
        <v>26/10/2025</v>
      </c>
      <c r="I57" s="1" t="str">
        <f>IF(H57="","",Details!$F60)</f>
        <v/>
      </c>
      <c r="J57" s="1">
        <f>IF(H57="","",Details!$E60)</f>
        <v>15000</v>
      </c>
      <c r="K57" s="1" t="str">
        <f t="shared" si="3"/>
        <v>#REF!</v>
      </c>
    </row>
    <row r="58" ht="13.5" customHeight="1">
      <c r="A58" s="1" t="str">
        <f>IF(Settings!A59="","",Settings!A59)</f>
        <v/>
      </c>
      <c r="B58" s="1" t="str">
        <f>IF($A58="","",SUMIF(Details!$C:$C,$A58,Details!$E:$E))</f>
        <v/>
      </c>
      <c r="C58" s="1" t="str">
        <f t="shared" si="1"/>
        <v/>
      </c>
      <c r="D58" s="4"/>
      <c r="E58" s="4"/>
      <c r="F58" s="4"/>
      <c r="G58" s="4"/>
      <c r="H58" s="1" t="str">
        <f>IF(Details!$B61="","",Details!$B61)</f>
        <v>26/10/2025</v>
      </c>
      <c r="I58" s="1" t="str">
        <f>IF(H58="","",Details!$F61)</f>
        <v/>
      </c>
      <c r="J58" s="1">
        <f>IF(H58="","",Details!$E61)</f>
        <v>30000</v>
      </c>
      <c r="K58" s="1" t="str">
        <f t="shared" si="3"/>
        <v>#REF!</v>
      </c>
    </row>
    <row r="59" ht="13.5" customHeight="1">
      <c r="A59" s="1" t="str">
        <f>IF(Settings!A60="","",Settings!A60)</f>
        <v/>
      </c>
      <c r="B59" s="1" t="str">
        <f>IF($A59="","",SUMIF(Details!$C:$C,$A59,Details!$E:$E))</f>
        <v/>
      </c>
      <c r="C59" s="1" t="str">
        <f t="shared" si="1"/>
        <v/>
      </c>
      <c r="D59" s="4"/>
      <c r="E59" s="4"/>
      <c r="F59" s="4"/>
      <c r="G59" s="4"/>
      <c r="H59" s="1" t="str">
        <f>IF(Details!$B62="","",Details!$B62)</f>
        <v>26/10/2025</v>
      </c>
      <c r="I59" s="1" t="str">
        <f>IF(H59="","",Details!$F62)</f>
        <v/>
      </c>
      <c r="J59" s="1">
        <f>IF(H59="","",Details!$E62)</f>
        <v>2000</v>
      </c>
      <c r="K59" s="1" t="str">
        <f t="shared" si="3"/>
        <v>#REF!</v>
      </c>
    </row>
    <row r="60" ht="13.5" customHeight="1">
      <c r="A60" s="1" t="str">
        <f>IF(Settings!A61="","",Settings!A61)</f>
        <v/>
      </c>
      <c r="B60" s="1" t="str">
        <f>IF($A60="","",SUMIF(Details!$C:$C,$A60,Details!$E:$E))</f>
        <v/>
      </c>
      <c r="C60" s="1" t="str">
        <f t="shared" si="1"/>
        <v/>
      </c>
      <c r="D60" s="4"/>
      <c r="E60" s="4"/>
      <c r="F60" s="4"/>
      <c r="G60" s="4"/>
      <c r="H60" s="1" t="str">
        <f>IF(Details!$B63="","",Details!$B63)</f>
        <v>28/10/2025</v>
      </c>
      <c r="I60" s="1" t="str">
        <f>IF(H60="","",Details!$F63)</f>
        <v/>
      </c>
      <c r="J60" s="1">
        <f>IF(H60="","",Details!$E63)</f>
        <v>45000</v>
      </c>
      <c r="K60" s="1" t="str">
        <f t="shared" si="3"/>
        <v>#REF!</v>
      </c>
    </row>
    <row r="61" ht="13.5" customHeight="1">
      <c r="A61" s="1" t="str">
        <f>IF(Settings!A62="","",Settings!A62)</f>
        <v/>
      </c>
      <c r="B61" s="1" t="str">
        <f>IF($A61="","",SUMIF(Details!$C:$C,$A61,Details!$E:$E))</f>
        <v/>
      </c>
      <c r="C61" s="1" t="str">
        <f t="shared" si="1"/>
        <v/>
      </c>
      <c r="D61" s="4"/>
      <c r="E61" s="4"/>
      <c r="F61" s="4"/>
      <c r="G61" s="4"/>
      <c r="H61" s="1" t="str">
        <f>IF(Details!$B64="","",Details!$B64)</f>
        <v>28/10/2025</v>
      </c>
      <c r="I61" s="1" t="str">
        <f>IF(H61="","",Details!$F64)</f>
        <v/>
      </c>
      <c r="J61" s="1">
        <f>IF(H61="","",Details!$E64)</f>
        <v>122000</v>
      </c>
      <c r="K61" s="1" t="str">
        <f t="shared" si="3"/>
        <v>#REF!</v>
      </c>
    </row>
    <row r="62" ht="13.5" customHeight="1">
      <c r="A62" s="1" t="str">
        <f>IF(Settings!A63="","",Settings!A63)</f>
        <v/>
      </c>
      <c r="B62" s="1" t="str">
        <f>IF($A62="","",SUMIF(Details!$C:$C,$A62,Details!$E:$E))</f>
        <v/>
      </c>
      <c r="C62" s="1" t="str">
        <f t="shared" si="1"/>
        <v/>
      </c>
      <c r="D62" s="4"/>
      <c r="E62" s="4"/>
      <c r="F62" s="4"/>
      <c r="G62" s="4"/>
      <c r="H62" s="1" t="str">
        <f>IF(Details!$B65="","",Details!$B65)</f>
        <v>28/10/2025</v>
      </c>
      <c r="I62" s="1" t="str">
        <f>IF(H62="","",Details!$F65)</f>
        <v/>
      </c>
      <c r="J62" s="1">
        <f>IF(H62="","",Details!$E65)</f>
        <v>30000</v>
      </c>
      <c r="K62" s="1" t="str">
        <f t="shared" si="3"/>
        <v>#REF!</v>
      </c>
    </row>
    <row r="63" ht="13.5" customHeight="1">
      <c r="A63" s="1" t="str">
        <f>IF(Settings!A64="","",Settings!A64)</f>
        <v/>
      </c>
      <c r="B63" s="1" t="str">
        <f>IF($A63="","",SUMIF(Details!$C:$C,$A63,Details!$E:$E))</f>
        <v/>
      </c>
      <c r="C63" s="1" t="str">
        <f t="shared" si="1"/>
        <v/>
      </c>
      <c r="D63" s="4"/>
      <c r="E63" s="4"/>
      <c r="F63" s="4"/>
      <c r="G63" s="4"/>
      <c r="H63" s="1" t="str">
        <f>IF(Details!$B66="","",Details!$B66)</f>
        <v>28/10/2025</v>
      </c>
      <c r="I63" s="1" t="str">
        <f>IF(H63="","",Details!$F66)</f>
        <v/>
      </c>
      <c r="J63" s="1">
        <f>IF(H63="","",Details!$E66)</f>
        <v>20000</v>
      </c>
      <c r="K63" s="1" t="str">
        <f t="shared" si="3"/>
        <v>#REF!</v>
      </c>
    </row>
    <row r="64" ht="13.5" customHeight="1">
      <c r="A64" s="1" t="str">
        <f>IF(Settings!A65="","",Settings!A65)</f>
        <v/>
      </c>
      <c r="B64" s="1" t="str">
        <f>IF($A64="","",SUMIF(Details!$C:$C,$A64,Details!$E:$E))</f>
        <v/>
      </c>
      <c r="C64" s="1" t="str">
        <f t="shared" si="1"/>
        <v/>
      </c>
      <c r="D64" s="4"/>
      <c r="E64" s="4"/>
      <c r="F64" s="4"/>
      <c r="G64" s="4"/>
      <c r="H64" s="1" t="str">
        <f>IF(Details!$B67="","",Details!$B67)</f>
        <v>28/10/2025</v>
      </c>
      <c r="I64" s="1" t="str">
        <f>IF(H64="","",Details!$F67)</f>
        <v/>
      </c>
      <c r="J64" s="1">
        <f>IF(H64="","",Details!$E67)</f>
        <v>7500</v>
      </c>
      <c r="K64" s="1" t="str">
        <f t="shared" si="3"/>
        <v>#REF!</v>
      </c>
    </row>
    <row r="65" ht="13.5" customHeight="1">
      <c r="A65" s="1" t="str">
        <f>IF(Settings!A66="","",Settings!A66)</f>
        <v/>
      </c>
      <c r="B65" s="1" t="str">
        <f>IF($A65="","",SUMIF(Details!$C:$C,$A65,Details!$E:$E))</f>
        <v/>
      </c>
      <c r="C65" s="1" t="str">
        <f t="shared" si="1"/>
        <v/>
      </c>
      <c r="D65" s="4"/>
      <c r="E65" s="4"/>
      <c r="F65" s="4"/>
      <c r="G65" s="4"/>
      <c r="H65" s="1" t="str">
        <f>IF(Details!$B68="","",Details!$B68)</f>
        <v>28/10/2025</v>
      </c>
      <c r="I65" s="1" t="str">
        <f>IF(H65="","",Details!$F68)</f>
        <v/>
      </c>
      <c r="J65" s="1">
        <f>IF(H65="","",Details!$E68)</f>
        <v>5000</v>
      </c>
      <c r="K65" s="1" t="str">
        <f t="shared" si="3"/>
        <v>#REF!</v>
      </c>
    </row>
    <row r="66" ht="13.5" customHeight="1">
      <c r="A66" s="1" t="str">
        <f>IF(Settings!A67="","",Settings!A67)</f>
        <v/>
      </c>
      <c r="B66" s="1" t="str">
        <f>IF($A66="","",SUMIF(Details!$C:$C,$A66,Details!$E:$E))</f>
        <v/>
      </c>
      <c r="C66" s="1" t="str">
        <f t="shared" si="1"/>
        <v/>
      </c>
      <c r="D66" s="4"/>
      <c r="E66" s="4"/>
      <c r="F66" s="4"/>
      <c r="G66" s="4"/>
      <c r="H66" s="1" t="str">
        <f>IF(Details!$B69="","",Details!$B69)</f>
        <v>28/10/2025</v>
      </c>
      <c r="I66" s="1" t="str">
        <f>IF(H66="","",Details!$F69)</f>
        <v/>
      </c>
      <c r="J66" s="1">
        <f>IF(H66="","",Details!$E69)</f>
        <v>15000</v>
      </c>
      <c r="K66" s="1" t="str">
        <f t="shared" si="3"/>
        <v>#REF!</v>
      </c>
    </row>
    <row r="67" ht="13.5" customHeight="1">
      <c r="A67" s="1" t="str">
        <f>IF(Settings!A68="","",Settings!A68)</f>
        <v/>
      </c>
      <c r="B67" s="1" t="str">
        <f>IF($A67="","",SUMIF(Details!$C:$C,$A67,Details!$E:$E))</f>
        <v/>
      </c>
      <c r="C67" s="1" t="str">
        <f t="shared" si="1"/>
        <v/>
      </c>
      <c r="D67" s="4"/>
      <c r="E67" s="4"/>
      <c r="F67" s="4"/>
      <c r="G67" s="4"/>
      <c r="H67" s="1" t="str">
        <f>IF(Details!$B70="","",Details!$B70)</f>
        <v>28/10/2025</v>
      </c>
      <c r="I67" s="1" t="str">
        <f>IF(H67="","",Details!$F70)</f>
        <v/>
      </c>
      <c r="J67" s="1">
        <f>IF(H67="","",Details!$E70)</f>
        <v>5000</v>
      </c>
      <c r="K67" s="1" t="str">
        <f t="shared" si="3"/>
        <v>#REF!</v>
      </c>
    </row>
    <row r="68" ht="13.5" customHeight="1">
      <c r="A68" s="1" t="str">
        <f>IF(Settings!A69="","",Settings!A69)</f>
        <v/>
      </c>
      <c r="B68" s="1" t="str">
        <f>IF($A68="","",SUMIF(Details!$C:$C,$A68,Details!$E:$E))</f>
        <v/>
      </c>
      <c r="C68" s="1" t="str">
        <f t="shared" si="1"/>
        <v/>
      </c>
      <c r="D68" s="4"/>
      <c r="E68" s="4"/>
      <c r="F68" s="4"/>
      <c r="G68" s="4"/>
      <c r="H68" s="1" t="str">
        <f>IF(Details!$B71="","",Details!$B71)</f>
        <v>28/10/2025</v>
      </c>
      <c r="I68" s="1" t="str">
        <f>IF(H68="","",Details!$F71)</f>
        <v/>
      </c>
      <c r="J68" s="1">
        <f>IF(H68="","",Details!$E71)</f>
        <v>1500</v>
      </c>
      <c r="K68" s="1" t="str">
        <f t="shared" si="3"/>
        <v>#REF!</v>
      </c>
    </row>
    <row r="69" ht="13.5" customHeight="1">
      <c r="A69" s="1" t="str">
        <f>IF(Settings!A70="","",Settings!A70)</f>
        <v/>
      </c>
      <c r="B69" s="1" t="str">
        <f>IF($A69="","",SUMIF(Details!$C:$C,$A69,Details!$E:$E))</f>
        <v/>
      </c>
      <c r="C69" s="1" t="str">
        <f t="shared" si="1"/>
        <v/>
      </c>
      <c r="D69" s="4"/>
      <c r="E69" s="4"/>
      <c r="F69" s="4"/>
      <c r="G69" s="4"/>
      <c r="H69" s="1" t="str">
        <f>IF(Details!$B72="","",Details!$B72)</f>
        <v>28/10/2025</v>
      </c>
      <c r="I69" s="1" t="str">
        <f>IF(H69="","",Details!$F72)</f>
        <v/>
      </c>
      <c r="J69" s="1">
        <f>IF(H69="","",Details!$E72)</f>
        <v>3000</v>
      </c>
      <c r="K69" s="1" t="str">
        <f t="shared" si="3"/>
        <v>#REF!</v>
      </c>
    </row>
    <row r="70" ht="13.5" customHeight="1">
      <c r="A70" s="1" t="str">
        <f>IF(Settings!A71="","",Settings!A71)</f>
        <v/>
      </c>
      <c r="B70" s="1" t="str">
        <f>IF($A70="","",SUMIF(Details!$C:$C,$A70,Details!$E:$E))</f>
        <v/>
      </c>
      <c r="C70" s="1" t="str">
        <f t="shared" si="1"/>
        <v/>
      </c>
      <c r="D70" s="4"/>
      <c r="E70" s="4"/>
      <c r="F70" s="4"/>
      <c r="G70" s="4"/>
      <c r="H70" s="1" t="str">
        <f>IF(Details!$B73="","",Details!$B73)</f>
        <v>28/10/2025</v>
      </c>
      <c r="I70" s="1" t="str">
        <f>IF(H70="","",Details!$F73)</f>
        <v/>
      </c>
      <c r="J70" s="1">
        <f>IF(H70="","",Details!$E73)</f>
        <v>10000</v>
      </c>
      <c r="K70" s="1" t="str">
        <f t="shared" si="3"/>
        <v>#REF!</v>
      </c>
    </row>
    <row r="71" ht="13.5" customHeight="1">
      <c r="A71" s="1" t="str">
        <f>IF(Settings!A72="","",Settings!A72)</f>
        <v/>
      </c>
      <c r="B71" s="1" t="str">
        <f>IF($A71="","",SUMIF(Details!$C:$C,$A71,Details!$E:$E))</f>
        <v/>
      </c>
      <c r="C71" s="1" t="str">
        <f t="shared" si="1"/>
        <v/>
      </c>
      <c r="D71" s="4"/>
      <c r="E71" s="4"/>
      <c r="F71" s="4"/>
      <c r="G71" s="4"/>
      <c r="H71" s="12">
        <f>IF(Details!$B75="","",Details!$B75)</f>
        <v>45973</v>
      </c>
      <c r="I71" s="1" t="str">
        <f>IF(H71="","",Details!$F75)</f>
        <v/>
      </c>
      <c r="J71" s="1">
        <f>IF(H71="","",Details!$E75)</f>
        <v>63000</v>
      </c>
      <c r="K71" s="1" t="str">
        <f t="shared" si="3"/>
        <v>#REF!</v>
      </c>
    </row>
    <row r="72" ht="13.5" customHeight="1">
      <c r="A72" s="1" t="str">
        <f>IF(Settings!A73="","",Settings!A73)</f>
        <v/>
      </c>
      <c r="B72" s="1" t="str">
        <f>IF($A72="","",SUMIF(Details!$C:$C,$A72,Details!$E:$E))</f>
        <v/>
      </c>
      <c r="C72" s="1" t="str">
        <f t="shared" si="1"/>
        <v/>
      </c>
      <c r="D72" s="4"/>
      <c r="E72" s="4"/>
      <c r="F72" s="4"/>
      <c r="G72" s="4"/>
      <c r="H72" s="12">
        <f>IF(Details!$B76="","",Details!$B76)</f>
        <v>45973</v>
      </c>
      <c r="I72" s="1" t="str">
        <f>IF(H72="","",Details!$F76)</f>
        <v/>
      </c>
      <c r="J72" s="1">
        <f>IF(H72="","",Details!$E76)</f>
        <v>35000</v>
      </c>
      <c r="K72" s="1" t="str">
        <f t="shared" si="3"/>
        <v>#REF!</v>
      </c>
    </row>
    <row r="73" ht="13.5" customHeight="1">
      <c r="A73" s="1" t="str">
        <f>IF(Settings!A74="","",Settings!A74)</f>
        <v/>
      </c>
      <c r="B73" s="1" t="str">
        <f>IF($A73="","",SUMIF(Details!$C:$C,$A73,Details!$E:$E))</f>
        <v/>
      </c>
      <c r="C73" s="1" t="str">
        <f t="shared" si="1"/>
        <v/>
      </c>
      <c r="D73" s="4"/>
      <c r="E73" s="4"/>
      <c r="F73" s="4"/>
      <c r="G73" s="4"/>
      <c r="H73" s="12">
        <f>IF(Details!$B77="","",Details!$B77)</f>
        <v>46003</v>
      </c>
      <c r="I73" s="1" t="str">
        <f>IF(H73="","",Details!$F77)</f>
        <v/>
      </c>
      <c r="J73" s="1">
        <f>IF(H73="","",Details!$E77)</f>
        <v>100000</v>
      </c>
      <c r="K73" s="1" t="str">
        <f t="shared" si="3"/>
        <v>#REF!</v>
      </c>
    </row>
    <row r="74" ht="13.5" customHeight="1">
      <c r="A74" s="1" t="str">
        <f>IF(Settings!A75="","",Settings!A75)</f>
        <v/>
      </c>
      <c r="B74" s="1" t="str">
        <f>IF($A74="","",SUMIF(Details!$C:$C,$A74,Details!$E:$E))</f>
        <v/>
      </c>
      <c r="C74" s="1" t="str">
        <f t="shared" si="1"/>
        <v/>
      </c>
      <c r="D74" s="4"/>
      <c r="E74" s="4"/>
      <c r="F74" s="4"/>
      <c r="G74" s="4"/>
      <c r="H74" s="12">
        <f>IF(Details!$B78="","",Details!$B78)</f>
        <v>46003</v>
      </c>
      <c r="I74" s="1" t="str">
        <f>IF(H74="","",Details!$F78)</f>
        <v/>
      </c>
      <c r="J74" s="1">
        <f>IF(H74="","",Details!$E78)</f>
        <v>8000</v>
      </c>
      <c r="K74" s="1" t="str">
        <f t="shared" si="3"/>
        <v>#REF!</v>
      </c>
    </row>
    <row r="75" ht="13.5" customHeight="1">
      <c r="A75" s="1" t="str">
        <f>IF(Settings!A76="","",Settings!A76)</f>
        <v/>
      </c>
      <c r="B75" s="1" t="str">
        <f>IF($A75="","",SUMIF(Details!$C:$C,$A75,Details!$E:$E))</f>
        <v/>
      </c>
      <c r="C75" s="1" t="str">
        <f t="shared" si="1"/>
        <v/>
      </c>
      <c r="D75" s="4"/>
      <c r="E75" s="4"/>
      <c r="F75" s="4"/>
      <c r="G75" s="4"/>
      <c r="H75" s="12">
        <f>IF(Details!$B79="","",Details!$B79)</f>
        <v>46003</v>
      </c>
      <c r="I75" s="1" t="str">
        <f>IF(H75="","",Details!$F79)</f>
        <v/>
      </c>
      <c r="J75" s="1">
        <f>IF(H75="","",Details!$E79)</f>
        <v>5000</v>
      </c>
      <c r="K75" s="1" t="str">
        <f t="shared" si="3"/>
        <v>#REF!</v>
      </c>
    </row>
    <row r="76" ht="13.5" customHeight="1">
      <c r="A76" s="1" t="str">
        <f>IF(Settings!A77="","",Settings!A77)</f>
        <v/>
      </c>
      <c r="B76" s="1" t="str">
        <f>IF($A76="","",SUMIF(Details!$C:$C,$A76,Details!$E:$E))</f>
        <v/>
      </c>
      <c r="C76" s="1" t="str">
        <f t="shared" si="1"/>
        <v/>
      </c>
      <c r="D76" s="4"/>
      <c r="E76" s="4"/>
      <c r="F76" s="4"/>
      <c r="G76" s="4"/>
      <c r="H76" s="12">
        <f>IF(Details!$B80="","",Details!$B80)</f>
        <v>46003</v>
      </c>
      <c r="I76" s="1" t="str">
        <f>IF(H76="","",Details!$F80)</f>
        <v/>
      </c>
      <c r="J76" s="1">
        <f>IF(H76="","",Details!$E80)</f>
        <v>10000</v>
      </c>
      <c r="K76" s="1" t="str">
        <f t="shared" si="3"/>
        <v>#REF!</v>
      </c>
    </row>
    <row r="77" ht="13.5" customHeight="1">
      <c r="A77" s="1" t="str">
        <f>IF(Settings!A78="","",Settings!A78)</f>
        <v/>
      </c>
      <c r="B77" s="1" t="str">
        <f>IF($A77="","",SUMIF(Details!$C:$C,$A77,Details!$E:$E))</f>
        <v/>
      </c>
      <c r="C77" s="1" t="str">
        <f t="shared" si="1"/>
        <v/>
      </c>
      <c r="D77" s="4"/>
      <c r="E77" s="4"/>
      <c r="F77" s="4"/>
      <c r="G77" s="4"/>
      <c r="H77" s="12">
        <f>IF(Details!$B81="","",Details!$B81)</f>
        <v>46003</v>
      </c>
      <c r="I77" s="1" t="str">
        <f>IF(H77="","",Details!$F81)</f>
        <v/>
      </c>
      <c r="J77" s="1">
        <f>IF(H77="","",Details!$E81)</f>
        <v>60000</v>
      </c>
      <c r="K77" s="1" t="str">
        <f t="shared" si="3"/>
        <v>#REF!</v>
      </c>
    </row>
    <row r="78" ht="13.5" customHeight="1">
      <c r="A78" s="1" t="str">
        <f>IF(Settings!A79="","",Settings!A79)</f>
        <v/>
      </c>
      <c r="B78" s="1" t="str">
        <f>IF($A78="","",SUMIF(Details!$C:$C,$A78,Details!$E:$E))</f>
        <v/>
      </c>
      <c r="C78" s="1" t="str">
        <f t="shared" si="1"/>
        <v/>
      </c>
      <c r="D78" s="4"/>
      <c r="E78" s="4"/>
      <c r="F78" s="4"/>
      <c r="G78" s="4"/>
      <c r="H78" s="12">
        <f>IF(Details!$B82="","",Details!$B82)</f>
        <v>46003</v>
      </c>
      <c r="I78" s="1" t="str">
        <f>IF(H78="","",Details!$F82)</f>
        <v/>
      </c>
      <c r="J78" s="1">
        <f>IF(H78="","",Details!$E82)</f>
        <v>5000</v>
      </c>
      <c r="K78" s="1" t="str">
        <f t="shared" si="3"/>
        <v>#REF!</v>
      </c>
    </row>
    <row r="79" ht="13.5" customHeight="1">
      <c r="A79" s="1" t="str">
        <f>IF(Settings!A80="","",Settings!A80)</f>
        <v/>
      </c>
      <c r="B79" s="1" t="str">
        <f>IF($A79="","",SUMIF(Details!$C:$C,$A79,Details!$E:$E))</f>
        <v/>
      </c>
      <c r="C79" s="1" t="str">
        <f t="shared" si="1"/>
        <v/>
      </c>
      <c r="D79" s="4"/>
      <c r="E79" s="4"/>
      <c r="F79" s="4"/>
      <c r="G79" s="4"/>
      <c r="H79" s="1" t="str">
        <f>IF(Details!$B83="","",Details!$B83)</f>
        <v>13/12/2025</v>
      </c>
      <c r="I79" s="1" t="str">
        <f>IF(H79="","",Details!$F83)</f>
        <v/>
      </c>
      <c r="J79" s="1">
        <f>IF(H79="","",Details!$E83)</f>
        <v>30000</v>
      </c>
      <c r="K79" s="1" t="str">
        <f t="shared" si="3"/>
        <v>#REF!</v>
      </c>
    </row>
    <row r="80" ht="13.5" customHeight="1">
      <c r="A80" s="1" t="str">
        <f>IF(Settings!A81="","",Settings!A81)</f>
        <v/>
      </c>
      <c r="B80" s="1" t="str">
        <f>IF($A80="","",SUMIF(Details!$C:$C,$A80,Details!$E:$E))</f>
        <v/>
      </c>
      <c r="C80" s="1" t="str">
        <f t="shared" si="1"/>
        <v/>
      </c>
      <c r="D80" s="4"/>
      <c r="E80" s="4"/>
      <c r="F80" s="4"/>
      <c r="G80" s="4"/>
      <c r="H80" s="1" t="str">
        <f>IF(Details!$B84="","",Details!$B84)</f>
        <v>13/12/2025</v>
      </c>
      <c r="I80" s="1" t="str">
        <f>IF(H80="","",Details!$F84)</f>
        <v/>
      </c>
      <c r="J80" s="1">
        <f>IF(H80="","",Details!$E84)</f>
        <v>60000</v>
      </c>
      <c r="K80" s="1" t="str">
        <f t="shared" si="3"/>
        <v>#REF!</v>
      </c>
    </row>
    <row r="81" ht="13.5" customHeight="1">
      <c r="A81" s="1" t="str">
        <f>IF(Settings!A82="","",Settings!A82)</f>
        <v/>
      </c>
      <c r="B81" s="1" t="str">
        <f>IF($A81="","",SUMIF(Details!$C:$C,$A81,Details!$E:$E))</f>
        <v/>
      </c>
      <c r="C81" s="1" t="str">
        <f t="shared" si="1"/>
        <v/>
      </c>
      <c r="D81" s="4"/>
      <c r="E81" s="4"/>
      <c r="F81" s="4"/>
      <c r="G81" s="4"/>
      <c r="H81" s="1" t="str">
        <f>IF(Details!$B85="","",Details!$B85)</f>
        <v>13/12/2025</v>
      </c>
      <c r="I81" s="1" t="str">
        <f>IF(H81="","",Details!$F85)</f>
        <v/>
      </c>
      <c r="J81" s="1">
        <f>IF(H81="","",Details!$E85)</f>
        <v>15000</v>
      </c>
      <c r="K81" s="1" t="str">
        <f t="shared" si="3"/>
        <v>#REF!</v>
      </c>
    </row>
    <row r="82" ht="13.5" customHeight="1">
      <c r="A82" s="1" t="str">
        <f>IF(Settings!A83="","",Settings!A83)</f>
        <v/>
      </c>
      <c r="B82" s="1" t="str">
        <f>IF($A82="","",SUMIF(Details!$C:$C,$A82,Details!$E:$E))</f>
        <v/>
      </c>
      <c r="C82" s="1" t="str">
        <f t="shared" si="1"/>
        <v/>
      </c>
      <c r="D82" s="4"/>
      <c r="E82" s="4"/>
      <c r="F82" s="4"/>
      <c r="G82" s="4"/>
      <c r="H82" s="1" t="str">
        <f>IF(Details!$B86="","",Details!$B86)</f>
        <v>16/12/2025</v>
      </c>
      <c r="I82" s="1" t="str">
        <f>IF(H82="","",Details!$F86)</f>
        <v/>
      </c>
      <c r="J82" s="1">
        <f>IF(H82="","",Details!$E86)</f>
        <v>20000</v>
      </c>
      <c r="K82" s="1" t="str">
        <f t="shared" si="3"/>
        <v>#REF!</v>
      </c>
    </row>
    <row r="83" ht="13.5" customHeight="1">
      <c r="A83" s="1" t="str">
        <f>IF(Settings!A84="","",Settings!A84)</f>
        <v/>
      </c>
      <c r="B83" s="1" t="str">
        <f>IF($A83="","",SUMIF(Details!$C:$C,$A83,Details!$E:$E))</f>
        <v/>
      </c>
      <c r="C83" s="1" t="str">
        <f t="shared" si="1"/>
        <v/>
      </c>
      <c r="D83" s="4"/>
      <c r="E83" s="4"/>
      <c r="F83" s="4"/>
      <c r="G83" s="4"/>
      <c r="H83" s="1" t="str">
        <f>IF(Details!$B87="","",Details!$B87)</f>
        <v>16/12/2025</v>
      </c>
      <c r="I83" s="1" t="str">
        <f>IF(H83="","",Details!$F87)</f>
        <v/>
      </c>
      <c r="J83" s="1">
        <f>IF(H83="","",Details!$E87)</f>
        <v>20000</v>
      </c>
      <c r="K83" s="1" t="str">
        <f t="shared" si="3"/>
        <v>#REF!</v>
      </c>
    </row>
    <row r="84" ht="13.5" customHeight="1">
      <c r="A84" s="1" t="str">
        <f>IF(Settings!A85="","",Settings!A85)</f>
        <v/>
      </c>
      <c r="B84" s="1" t="str">
        <f>IF($A84="","",SUMIF(Details!$C:$C,$A84,Details!$E:$E))</f>
        <v/>
      </c>
      <c r="C84" s="1" t="str">
        <f t="shared" si="1"/>
        <v/>
      </c>
      <c r="D84" s="4"/>
      <c r="E84" s="4"/>
      <c r="F84" s="4"/>
      <c r="G84" s="4"/>
      <c r="H84" s="1" t="str">
        <f>IF(Details!$B88="","",Details!$B88)</f>
        <v>16/12/2025</v>
      </c>
      <c r="I84" s="1" t="str">
        <f>IF(H84="","",Details!$F88)</f>
        <v/>
      </c>
      <c r="J84" s="1">
        <f>IF(H84="","",Details!$E88)</f>
        <v>10000</v>
      </c>
      <c r="K84" s="1" t="str">
        <f t="shared" si="3"/>
        <v>#REF!</v>
      </c>
    </row>
    <row r="85" ht="13.5" customHeight="1">
      <c r="A85" s="1" t="str">
        <f>IF(Settings!A86="","",Settings!A86)</f>
        <v/>
      </c>
      <c r="B85" s="1" t="str">
        <f>IF($A85="","",SUMIF(Details!$C:$C,$A85,Details!$E:$E))</f>
        <v/>
      </c>
      <c r="C85" s="1" t="str">
        <f t="shared" si="1"/>
        <v/>
      </c>
      <c r="D85" s="4"/>
      <c r="E85" s="4"/>
      <c r="F85" s="4"/>
      <c r="G85" s="4"/>
      <c r="H85" s="1" t="str">
        <f>IF(Details!$B89="","",Details!$B89)</f>
        <v>16/12/2025</v>
      </c>
      <c r="I85" s="1" t="str">
        <f>IF(H85="","",Details!$F89)</f>
        <v/>
      </c>
      <c r="J85" s="1">
        <f>IF(H85="","",Details!$E89)</f>
        <v>10000</v>
      </c>
      <c r="K85" s="1" t="str">
        <f t="shared" si="3"/>
        <v>#REF!</v>
      </c>
    </row>
    <row r="86" ht="13.5" customHeight="1">
      <c r="A86" s="1" t="str">
        <f>IF(Settings!A87="","",Settings!A87)</f>
        <v/>
      </c>
      <c r="B86" s="1" t="str">
        <f>IF($A86="","",SUMIF(Details!$C:$C,$A86,Details!$E:$E))</f>
        <v/>
      </c>
      <c r="C86" s="1" t="str">
        <f t="shared" si="1"/>
        <v/>
      </c>
      <c r="D86" s="4"/>
      <c r="E86" s="4"/>
      <c r="F86" s="4"/>
      <c r="G86" s="4"/>
      <c r="H86" s="1" t="str">
        <f>IF(Details!$B90="","",Details!$B90)</f>
        <v>17/12/2025</v>
      </c>
      <c r="I86" s="1" t="str">
        <f>IF(H86="","",Details!$F90)</f>
        <v/>
      </c>
      <c r="J86" s="1">
        <f>IF(H86="","",Details!$E90)</f>
        <v>90000</v>
      </c>
      <c r="K86" s="1" t="str">
        <f t="shared" si="3"/>
        <v>#REF!</v>
      </c>
    </row>
    <row r="87" ht="13.5" customHeight="1">
      <c r="A87" s="1" t="str">
        <f>IF(Settings!A88="","",Settings!A88)</f>
        <v/>
      </c>
      <c r="B87" s="1" t="str">
        <f>IF($A87="","",SUMIF(Details!$C:$C,$A87,Details!$E:$E))</f>
        <v/>
      </c>
      <c r="C87" s="1" t="str">
        <f t="shared" si="1"/>
        <v/>
      </c>
      <c r="D87" s="4"/>
      <c r="E87" s="4"/>
      <c r="F87" s="4"/>
      <c r="G87" s="4"/>
      <c r="H87" s="1" t="str">
        <f>IF(Details!$B91="","",Details!$B91)</f>
        <v>17/12/2025</v>
      </c>
      <c r="I87" s="1" t="str">
        <f>IF(H87="","",Details!$F91)</f>
        <v/>
      </c>
      <c r="J87" s="1">
        <f>IF(H87="","",Details!$E91)</f>
        <v>55000</v>
      </c>
      <c r="K87" s="1" t="str">
        <f t="shared" si="3"/>
        <v>#REF!</v>
      </c>
    </row>
    <row r="88" ht="13.5" customHeight="1">
      <c r="A88" s="1" t="str">
        <f>IF(Settings!A89="","",Settings!A89)</f>
        <v/>
      </c>
      <c r="B88" s="1" t="str">
        <f>IF($A88="","",SUMIF(Details!$C:$C,$A88,Details!$E:$E))</f>
        <v/>
      </c>
      <c r="C88" s="1" t="str">
        <f t="shared" si="1"/>
        <v/>
      </c>
      <c r="D88" s="4"/>
      <c r="E88" s="4"/>
      <c r="F88" s="4"/>
      <c r="G88" s="4"/>
      <c r="H88" s="1" t="str">
        <f>IF(Details!$B92="","",Details!$B92)</f>
        <v>17/12/2025</v>
      </c>
      <c r="I88" s="1" t="str">
        <f>IF(H88="","",Details!$F92)</f>
        <v/>
      </c>
      <c r="J88" s="1">
        <f>IF(H88="","",Details!$E92)</f>
        <v>50000</v>
      </c>
      <c r="K88" s="1" t="str">
        <f t="shared" si="3"/>
        <v>#REF!</v>
      </c>
    </row>
    <row r="89" ht="13.5" customHeight="1">
      <c r="A89" s="1" t="str">
        <f>IF(Settings!A90="","",Settings!A90)</f>
        <v/>
      </c>
      <c r="B89" s="1" t="str">
        <f>IF($A89="","",SUMIF(Details!$C:$C,$A89,Details!$E:$E))</f>
        <v/>
      </c>
      <c r="C89" s="1" t="str">
        <f t="shared" si="1"/>
        <v/>
      </c>
      <c r="D89" s="4"/>
      <c r="E89" s="4"/>
      <c r="F89" s="4"/>
      <c r="G89" s="4"/>
      <c r="H89" s="1" t="str">
        <f>IF(Details!$B94="","",Details!$B94)</f>
        <v>17/12/2025</v>
      </c>
      <c r="I89" s="1" t="str">
        <f>IF(H89="","",Details!$F94)</f>
        <v/>
      </c>
      <c r="J89" s="1">
        <f>IF(H89="","",Details!$E94)</f>
        <v>35000</v>
      </c>
      <c r="K89" s="1" t="str">
        <f t="shared" si="3"/>
        <v>#REF!</v>
      </c>
    </row>
    <row r="90" ht="13.5" customHeight="1">
      <c r="A90" s="1" t="str">
        <f>IF(Settings!A91="","",Settings!A91)</f>
        <v/>
      </c>
      <c r="B90" s="1" t="str">
        <f>IF($A90="","",SUMIF(Details!$C:$C,$A90,Details!$E:$E))</f>
        <v/>
      </c>
      <c r="C90" s="1" t="str">
        <f t="shared" si="1"/>
        <v/>
      </c>
      <c r="D90" s="4"/>
      <c r="E90" s="4"/>
      <c r="F90" s="4"/>
      <c r="G90" s="4"/>
      <c r="H90" s="1" t="str">
        <f>IF(Details!$B95="","",Details!$B95)</f>
        <v>17/12/2025</v>
      </c>
      <c r="I90" s="1" t="str">
        <f>IF(H90="","",Details!$F95)</f>
        <v/>
      </c>
      <c r="J90" s="1">
        <f>IF(H90="","",Details!$E95)</f>
        <v>10000</v>
      </c>
      <c r="K90" s="1" t="str">
        <f t="shared" si="3"/>
        <v>#REF!</v>
      </c>
    </row>
    <row r="91" ht="13.5" customHeight="1">
      <c r="A91" s="1" t="str">
        <f>IF(Settings!A92="","",Settings!A92)</f>
        <v/>
      </c>
      <c r="B91" s="1" t="str">
        <f>IF($A91="","",SUMIF(Details!$C:$C,$A91,Details!$E:$E))</f>
        <v/>
      </c>
      <c r="C91" s="1" t="str">
        <f t="shared" si="1"/>
        <v/>
      </c>
      <c r="D91" s="4"/>
      <c r="E91" s="4"/>
      <c r="F91" s="4"/>
      <c r="G91" s="4"/>
      <c r="H91" s="1" t="str">
        <f>IF(Details!$B96="","",Details!$B96)</f>
        <v>17/12/2025</v>
      </c>
      <c r="I91" s="1" t="str">
        <f>IF(H91="","",Details!$F96)</f>
        <v/>
      </c>
      <c r="J91" s="1">
        <f>IF(H91="","",Details!$E96)</f>
        <v>20000</v>
      </c>
      <c r="K91" s="1" t="str">
        <f t="shared" si="3"/>
        <v>#REF!</v>
      </c>
    </row>
    <row r="92" ht="13.5" customHeight="1">
      <c r="A92" s="1" t="str">
        <f>IF(Settings!A93="","",Settings!A93)</f>
        <v/>
      </c>
      <c r="B92" s="1" t="str">
        <f>IF($A92="","",SUMIF(Details!$C:$C,$A92,Details!$E:$E))</f>
        <v/>
      </c>
      <c r="C92" s="1" t="str">
        <f t="shared" si="1"/>
        <v/>
      </c>
      <c r="D92" s="4"/>
      <c r="E92" s="4"/>
      <c r="F92" s="4"/>
      <c r="G92" s="4"/>
      <c r="H92" s="1" t="str">
        <f>IF(Details!$B97="","",Details!$B97)</f>
        <v>18/12/2025</v>
      </c>
      <c r="I92" s="1" t="str">
        <f>IF(H92="","",Details!$F97)</f>
        <v/>
      </c>
      <c r="J92" s="1">
        <f>IF(H92="","",Details!$E97)</f>
        <v>20000</v>
      </c>
      <c r="K92" s="1" t="str">
        <f t="shared" si="3"/>
        <v>#REF!</v>
      </c>
    </row>
    <row r="93" ht="13.5" customHeight="1">
      <c r="A93" s="1" t="str">
        <f>IF(Settings!A94="","",Settings!A94)</f>
        <v/>
      </c>
      <c r="B93" s="1" t="str">
        <f>IF($A93="","",SUMIF(Details!$C:$C,$A93,Details!$E:$E))</f>
        <v/>
      </c>
      <c r="C93" s="1" t="str">
        <f t="shared" si="1"/>
        <v/>
      </c>
      <c r="D93" s="4"/>
      <c r="E93" s="4"/>
      <c r="F93" s="4"/>
      <c r="G93" s="4"/>
      <c r="H93" s="1" t="str">
        <f>IF(Details!$B98="","",Details!$B98)</f>
        <v>18/12/2025</v>
      </c>
      <c r="I93" s="1" t="str">
        <f>IF(H93="","",Details!$F98)</f>
        <v/>
      </c>
      <c r="J93" s="1">
        <f>IF(H93="","",Details!$E98)</f>
        <v>36000</v>
      </c>
      <c r="K93" s="1" t="str">
        <f t="shared" si="3"/>
        <v>#REF!</v>
      </c>
    </row>
    <row r="94" ht="13.5" customHeight="1">
      <c r="A94" s="1" t="str">
        <f>IF(Settings!A95="","",Settings!A95)</f>
        <v/>
      </c>
      <c r="B94" s="1" t="str">
        <f>IF($A94="","",SUMIF(Details!$C:$C,$A94,Details!$E:$E))</f>
        <v/>
      </c>
      <c r="C94" s="1" t="str">
        <f t="shared" si="1"/>
        <v/>
      </c>
      <c r="D94" s="4"/>
      <c r="E94" s="4"/>
      <c r="F94" s="4"/>
      <c r="G94" s="4"/>
      <c r="H94" s="1" t="str">
        <f>IF(Details!$B99="","",Details!$B99)</f>
        <v>18/12/2025</v>
      </c>
      <c r="I94" s="1" t="str">
        <f>IF(H94="","",Details!$F99)</f>
        <v/>
      </c>
      <c r="J94" s="1">
        <f>IF(H94="","",Details!$E99)</f>
        <v>51000</v>
      </c>
      <c r="K94" s="1" t="str">
        <f t="shared" si="3"/>
        <v>#REF!</v>
      </c>
    </row>
    <row r="95" ht="13.5" customHeight="1">
      <c r="A95" s="1" t="str">
        <f>IF(Settings!A96="","",Settings!A96)</f>
        <v/>
      </c>
      <c r="B95" s="1" t="str">
        <f>IF($A95="","",SUMIF(Details!$C:$C,$A95,Details!$E:$E))</f>
        <v/>
      </c>
      <c r="C95" s="1" t="str">
        <f t="shared" si="1"/>
        <v/>
      </c>
      <c r="D95" s="4"/>
      <c r="E95" s="4"/>
      <c r="F95" s="4"/>
      <c r="G95" s="4"/>
      <c r="H95" s="1" t="str">
        <f>IF(Details!$B100="","",Details!$B100)</f>
        <v>18/12/2025</v>
      </c>
      <c r="I95" s="1" t="str">
        <f>IF(H95="","",Details!$F100)</f>
        <v/>
      </c>
      <c r="J95" s="1">
        <f>IF(H95="","",Details!$E100)</f>
        <v>32000</v>
      </c>
      <c r="K95" s="1" t="str">
        <f t="shared" si="3"/>
        <v>#REF!</v>
      </c>
    </row>
    <row r="96" ht="13.5" customHeight="1">
      <c r="A96" s="1" t="str">
        <f>IF(Settings!A97="","",Settings!A97)</f>
        <v/>
      </c>
      <c r="B96" s="1" t="str">
        <f>IF($A96="","",SUMIF(Details!$C:$C,$A96,Details!$E:$E))</f>
        <v/>
      </c>
      <c r="C96" s="1" t="str">
        <f t="shared" si="1"/>
        <v/>
      </c>
      <c r="D96" s="4"/>
      <c r="E96" s="4"/>
      <c r="F96" s="4"/>
      <c r="G96" s="4"/>
      <c r="H96" s="1" t="str">
        <f>IF(Details!$B101="","",Details!$B101)</f>
        <v>18/12/2025</v>
      </c>
      <c r="I96" s="1" t="str">
        <f>IF(H96="","",Details!$F101)</f>
        <v/>
      </c>
      <c r="J96" s="1">
        <f>IF(H96="","",Details!$E101)</f>
        <v>15000</v>
      </c>
      <c r="K96" s="1" t="str">
        <f t="shared" si="3"/>
        <v>#REF!</v>
      </c>
    </row>
    <row r="97" ht="13.5" customHeight="1">
      <c r="A97" s="1" t="str">
        <f>IF(Settings!A98="","",Settings!A98)</f>
        <v/>
      </c>
      <c r="B97" s="1" t="str">
        <f>IF($A97="","",SUMIF(Details!$C:$C,$A97,Details!$E:$E))</f>
        <v/>
      </c>
      <c r="C97" s="1" t="str">
        <f t="shared" si="1"/>
        <v/>
      </c>
      <c r="D97" s="4"/>
      <c r="E97" s="4"/>
      <c r="F97" s="4"/>
      <c r="G97" s="4"/>
      <c r="H97" s="1" t="str">
        <f>IF(Details!$B102="","",Details!$B102)</f>
        <v>18/12/2025</v>
      </c>
      <c r="I97" s="1" t="str">
        <f>IF(H97="","",Details!$F102)</f>
        <v/>
      </c>
      <c r="J97" s="1">
        <f>IF(H97="","",Details!$E102)</f>
        <v>10000</v>
      </c>
      <c r="K97" s="1" t="str">
        <f t="shared" si="3"/>
        <v>#REF!</v>
      </c>
    </row>
    <row r="98" ht="13.5" customHeight="1">
      <c r="A98" s="1" t="str">
        <f>IF(Settings!A99="","",Settings!A99)</f>
        <v/>
      </c>
      <c r="B98" s="1" t="str">
        <f>IF($A98="","",SUMIF(Details!$C:$C,$A98,Details!$E:$E))</f>
        <v/>
      </c>
      <c r="C98" s="1" t="str">
        <f t="shared" si="1"/>
        <v/>
      </c>
      <c r="D98" s="4"/>
      <c r="E98" s="4"/>
      <c r="F98" s="4"/>
      <c r="G98" s="4"/>
      <c r="H98" s="1" t="str">
        <f>IF(Details!$B103="","",Details!$B103)</f>
        <v>19/12/2025</v>
      </c>
      <c r="I98" s="1" t="str">
        <f>IF(H98="","",Details!$F103)</f>
        <v/>
      </c>
      <c r="J98" s="1">
        <f>IF(H98="","",Details!$E103)</f>
        <v>5000</v>
      </c>
      <c r="K98" s="1" t="str">
        <f t="shared" si="3"/>
        <v>#REF!</v>
      </c>
    </row>
    <row r="99" ht="13.5" customHeight="1">
      <c r="A99" s="1" t="str">
        <f>IF(Settings!A100="","",Settings!A100)</f>
        <v/>
      </c>
      <c r="B99" s="1" t="str">
        <f>IF($A99="","",SUMIF(Details!$C:$C,$A99,Details!$E:$E))</f>
        <v/>
      </c>
      <c r="C99" s="1" t="str">
        <f t="shared" si="1"/>
        <v/>
      </c>
      <c r="D99" s="4"/>
      <c r="E99" s="4"/>
      <c r="F99" s="4"/>
      <c r="G99" s="4"/>
      <c r="H99" s="1" t="str">
        <f>IF(Details!$B104="","",Details!$B104)</f>
        <v>19/12/2025</v>
      </c>
      <c r="I99" s="1" t="str">
        <f>IF(H99="","",Details!$F104)</f>
        <v/>
      </c>
      <c r="J99" s="1">
        <f>IF(H99="","",Details!$E104)</f>
        <v>1200</v>
      </c>
      <c r="K99" s="1" t="str">
        <f t="shared" si="3"/>
        <v>#REF!</v>
      </c>
    </row>
    <row r="100" ht="13.5" customHeight="1">
      <c r="A100" s="1" t="str">
        <f>IF(Settings!A101="","",Settings!A101)</f>
        <v/>
      </c>
      <c r="B100" s="1" t="str">
        <f>IF($A100="","",SUMIF(Details!$C:$C,$A100,Details!$E:$E))</f>
        <v/>
      </c>
      <c r="C100" s="1" t="str">
        <f t="shared" si="1"/>
        <v/>
      </c>
      <c r="D100" s="4"/>
      <c r="E100" s="4"/>
      <c r="F100" s="4"/>
      <c r="G100" s="4"/>
      <c r="H100" s="1" t="str">
        <f>IF(Details!$B105="","",Details!$B105)</f>
        <v>19/12/2025</v>
      </c>
      <c r="I100" s="1" t="str">
        <f>IF(H100="","",Details!$F105)</f>
        <v/>
      </c>
      <c r="J100" s="1">
        <f>IF(H100="","",Details!$E105)</f>
        <v>1000</v>
      </c>
      <c r="K100" s="1" t="str">
        <f t="shared" si="3"/>
        <v>#REF!</v>
      </c>
    </row>
    <row r="101" ht="13.5" customHeight="1">
      <c r="A101" s="1" t="str">
        <f>IF(Settings!A102="","",Settings!A102)</f>
        <v/>
      </c>
      <c r="B101" s="1" t="str">
        <f>IF($A101="","",SUMIF(Details!$C:$C,$A101,Details!$E:$E))</f>
        <v/>
      </c>
      <c r="C101" s="1" t="str">
        <f t="shared" si="1"/>
        <v/>
      </c>
      <c r="D101" s="4"/>
      <c r="E101" s="4"/>
      <c r="F101" s="4"/>
      <c r="G101" s="4"/>
      <c r="H101" s="1" t="str">
        <f>IF(Details!$B106="","",Details!$B106)</f>
        <v>19/12/2025</v>
      </c>
      <c r="I101" s="1" t="str">
        <f>IF(H101="","",Details!$F106)</f>
        <v/>
      </c>
      <c r="J101" s="1">
        <f>IF(H101="","",Details!$E106)</f>
        <v>25000</v>
      </c>
      <c r="K101" s="1" t="str">
        <f t="shared" si="3"/>
        <v>#REF!</v>
      </c>
    </row>
    <row r="102" ht="13.5" customHeight="1">
      <c r="A102" s="1" t="str">
        <f>IF(Settings!A103="","",Settings!A103)</f>
        <v/>
      </c>
      <c r="B102" s="1" t="str">
        <f>IF($A102="","",SUMIF(Details!$C:$C,$A102,Details!$E:$E))</f>
        <v/>
      </c>
      <c r="C102" s="1" t="str">
        <f t="shared" si="1"/>
        <v/>
      </c>
      <c r="D102" s="4"/>
      <c r="E102" s="4"/>
      <c r="F102" s="4"/>
      <c r="G102" s="4"/>
      <c r="H102" s="1" t="str">
        <f>IF(Details!$B107="","",Details!$B107)</f>
        <v>19/12/2025</v>
      </c>
      <c r="I102" s="1" t="str">
        <f>IF(H102="","",Details!$F107)</f>
        <v/>
      </c>
      <c r="J102" s="1">
        <f>IF(H102="","",Details!$E107)</f>
        <v>32000</v>
      </c>
      <c r="K102" s="1" t="str">
        <f t="shared" si="3"/>
        <v>#REF!</v>
      </c>
    </row>
    <row r="103" ht="13.5" customHeight="1">
      <c r="A103" s="1" t="str">
        <f>IF(Settings!A104="","",Settings!A104)</f>
        <v/>
      </c>
      <c r="B103" s="1" t="str">
        <f>IF($A103="","",SUMIF(Details!$C:$C,$A103,Details!$E:$E))</f>
        <v/>
      </c>
      <c r="C103" s="1" t="str">
        <f t="shared" si="1"/>
        <v/>
      </c>
      <c r="D103" s="4"/>
      <c r="E103" s="4"/>
      <c r="F103" s="4"/>
      <c r="G103" s="4"/>
      <c r="H103" s="1" t="str">
        <f>IF(Details!$B108="","",Details!$B108)</f>
        <v>19/12/2025</v>
      </c>
      <c r="I103" s="1" t="str">
        <f>IF(H103="","",Details!$F108)</f>
        <v/>
      </c>
      <c r="J103" s="1">
        <f>IF(H103="","",Details!$E108)</f>
        <v>39000</v>
      </c>
      <c r="K103" s="1" t="str">
        <f t="shared" si="3"/>
        <v>#REF!</v>
      </c>
    </row>
    <row r="104" ht="13.5" customHeight="1">
      <c r="A104" s="1" t="str">
        <f>IF(Settings!A105="","",Settings!A105)</f>
        <v/>
      </c>
      <c r="B104" s="1" t="str">
        <f>IF($A104="","",SUMIF(Details!$C:$C,$A104,Details!$E:$E))</f>
        <v/>
      </c>
      <c r="C104" s="1" t="str">
        <f t="shared" si="1"/>
        <v/>
      </c>
      <c r="D104" s="4"/>
      <c r="E104" s="4"/>
      <c r="F104" s="4"/>
      <c r="G104" s="4"/>
      <c r="H104" s="1" t="str">
        <f>IF(Details!$B109="","",Details!$B109)</f>
        <v>19/12/2025</v>
      </c>
      <c r="I104" s="1" t="str">
        <f>IF(H104="","",Details!$F109)</f>
        <v/>
      </c>
      <c r="J104" s="1">
        <f>IF(H104="","",Details!$E109)</f>
        <v>36000</v>
      </c>
      <c r="K104" s="1" t="str">
        <f t="shared" si="3"/>
        <v>#REF!</v>
      </c>
    </row>
    <row r="105" ht="13.5" customHeight="1">
      <c r="A105" s="1" t="str">
        <f>IF(Settings!A106="","",Settings!A106)</f>
        <v/>
      </c>
      <c r="B105" s="1" t="str">
        <f>IF($A105="","",SUMIF(Details!$C:$C,$A105,Details!$E:$E))</f>
        <v/>
      </c>
      <c r="C105" s="1" t="str">
        <f t="shared" si="1"/>
        <v/>
      </c>
      <c r="D105" s="4"/>
      <c r="E105" s="4"/>
      <c r="F105" s="4"/>
      <c r="G105" s="4"/>
      <c r="H105" s="1" t="str">
        <f>IF(Details!$B110="","",Details!$B110)</f>
        <v>19/12/2025</v>
      </c>
      <c r="I105" s="1" t="str">
        <f>IF(H105="","",Details!$F110)</f>
        <v/>
      </c>
      <c r="J105" s="1">
        <f>IF(H105="","",Details!$E110)</f>
        <v>26000</v>
      </c>
      <c r="K105" s="1" t="str">
        <f t="shared" si="3"/>
        <v>#REF!</v>
      </c>
    </row>
    <row r="106" ht="13.5" customHeight="1">
      <c r="A106" s="1" t="str">
        <f>IF(Settings!A107="","",Settings!A107)</f>
        <v/>
      </c>
      <c r="B106" s="1" t="str">
        <f>IF($A106="","",SUMIF(Details!$C:$C,$A106,Details!$E:$E))</f>
        <v/>
      </c>
      <c r="C106" s="1" t="str">
        <f t="shared" si="1"/>
        <v/>
      </c>
      <c r="D106" s="4"/>
      <c r="E106" s="4"/>
      <c r="F106" s="4"/>
      <c r="G106" s="4"/>
      <c r="H106" s="1" t="str">
        <f>IF(Details!$B111="","",Details!$B111)</f>
        <v>19/12/225</v>
      </c>
      <c r="I106" s="1" t="str">
        <f>IF(H106="","",Details!$F111)</f>
        <v/>
      </c>
      <c r="J106" s="1">
        <f>IF(H106="","",Details!$E111)</f>
        <v>10000</v>
      </c>
      <c r="K106" s="1" t="str">
        <f t="shared" si="3"/>
        <v>#REF!</v>
      </c>
    </row>
    <row r="107" ht="13.5" customHeight="1">
      <c r="A107" s="1" t="str">
        <f>IF(Settings!A108="","",Settings!A108)</f>
        <v/>
      </c>
      <c r="B107" s="1" t="str">
        <f>IF($A107="","",SUMIF(Details!$C:$C,$A107,Details!$E:$E))</f>
        <v/>
      </c>
      <c r="C107" s="1" t="str">
        <f t="shared" si="1"/>
        <v/>
      </c>
      <c r="D107" s="4"/>
      <c r="E107" s="4"/>
      <c r="F107" s="4"/>
      <c r="G107" s="4"/>
      <c r="H107" s="1" t="str">
        <f>IF(Details!$B112="","",Details!$B112)</f>
        <v>19/12/25</v>
      </c>
      <c r="I107" s="1" t="str">
        <f>IF(H107="","",Details!$F112)</f>
        <v/>
      </c>
      <c r="J107" s="1">
        <f>IF(H107="","",Details!$E112)</f>
        <v>10000</v>
      </c>
      <c r="K107" s="1" t="str">
        <f t="shared" si="3"/>
        <v>#REF!</v>
      </c>
    </row>
    <row r="108" ht="13.5" customHeight="1">
      <c r="A108" s="1" t="str">
        <f>IF(Settings!A109="","",Settings!A109)</f>
        <v/>
      </c>
      <c r="B108" s="1" t="str">
        <f>IF($A108="","",SUMIF(Details!$C:$C,$A108,Details!$E:$E))</f>
        <v/>
      </c>
      <c r="C108" s="1" t="str">
        <f t="shared" si="1"/>
        <v/>
      </c>
      <c r="D108" s="4"/>
      <c r="E108" s="4"/>
      <c r="F108" s="4"/>
      <c r="G108" s="4"/>
      <c r="H108" s="1" t="str">
        <f>IF(Details!$B113="","",Details!$B113)</f>
        <v>22/12/2025</v>
      </c>
      <c r="I108" s="1">
        <f>IF(H108="","",Details!$F113)</f>
        <v>1700000</v>
      </c>
      <c r="J108" s="1" t="str">
        <f>IF(H108="","",Details!$E113)</f>
        <v/>
      </c>
      <c r="K108" s="1" t="str">
        <f t="shared" si="3"/>
        <v>#REF!</v>
      </c>
    </row>
    <row r="109" ht="13.5" customHeight="1">
      <c r="A109" s="1" t="str">
        <f>IF(Settings!A110="","",Settings!A110)</f>
        <v/>
      </c>
      <c r="B109" s="1" t="str">
        <f>IF($A109="","",SUMIF(Details!$C:$C,$A109,Details!$E:$E))</f>
        <v/>
      </c>
      <c r="C109" s="1" t="str">
        <f t="shared" si="1"/>
        <v/>
      </c>
      <c r="D109" s="4"/>
      <c r="E109" s="4"/>
      <c r="F109" s="4"/>
      <c r="G109" s="4"/>
      <c r="H109" s="1" t="str">
        <f>IF(Details!$B114="","",Details!$B114)</f>
        <v>22/12/2025</v>
      </c>
      <c r="I109" s="1" t="str">
        <f>IF(H109="","",Details!$F114)</f>
        <v/>
      </c>
      <c r="J109" s="1">
        <f>IF(H109="","",Details!$E114)</f>
        <v>36000</v>
      </c>
      <c r="K109" s="1" t="str">
        <f t="shared" si="3"/>
        <v>#REF!</v>
      </c>
    </row>
    <row r="110" ht="13.5" customHeight="1">
      <c r="A110" s="1" t="str">
        <f>IF(Settings!A111="","",Settings!A111)</f>
        <v/>
      </c>
      <c r="B110" s="1" t="str">
        <f>IF($A110="","",SUMIF(Details!$C:$C,$A110,Details!$E:$E))</f>
        <v/>
      </c>
      <c r="C110" s="1" t="str">
        <f t="shared" si="1"/>
        <v/>
      </c>
      <c r="D110" s="4"/>
      <c r="E110" s="4"/>
      <c r="F110" s="4"/>
      <c r="G110" s="4"/>
      <c r="H110" s="1" t="str">
        <f>IF(Details!$B115="","",Details!$B115)</f>
        <v>22/12/2025</v>
      </c>
      <c r="I110" s="1" t="str">
        <f>IF(H110="","",Details!$F115)</f>
        <v/>
      </c>
      <c r="J110" s="1">
        <f>IF(H110="","",Details!$E115)</f>
        <v>5000</v>
      </c>
      <c r="K110" s="1" t="str">
        <f t="shared" si="3"/>
        <v>#REF!</v>
      </c>
    </row>
    <row r="111" ht="13.5" customHeight="1">
      <c r="A111" s="1" t="str">
        <f>IF(Settings!A112="","",Settings!A112)</f>
        <v/>
      </c>
      <c r="B111" s="1" t="str">
        <f>IF($A111="","",SUMIF(Details!$C:$C,$A111,Details!$E:$E))</f>
        <v/>
      </c>
      <c r="C111" s="1" t="str">
        <f t="shared" si="1"/>
        <v/>
      </c>
      <c r="D111" s="4"/>
      <c r="E111" s="4"/>
      <c r="F111" s="4"/>
      <c r="G111" s="4"/>
      <c r="H111" s="1" t="str">
        <f>IF(Details!$B116="","",Details!$B116)</f>
        <v>22/12/2025</v>
      </c>
      <c r="I111" s="1" t="str">
        <f>IF(H111="","",Details!$F116)</f>
        <v/>
      </c>
      <c r="J111" s="1">
        <f>IF(H111="","",Details!$E116)</f>
        <v>10000</v>
      </c>
      <c r="K111" s="1" t="str">
        <f t="shared" si="3"/>
        <v>#REF!</v>
      </c>
    </row>
    <row r="112" ht="13.5" customHeight="1">
      <c r="A112" s="1" t="str">
        <f>IF(Settings!A113="","",Settings!A113)</f>
        <v/>
      </c>
      <c r="B112" s="1" t="str">
        <f>IF($A112="","",SUMIF(Details!$C:$C,$A112,Details!$E:$E))</f>
        <v/>
      </c>
      <c r="C112" s="1" t="str">
        <f t="shared" si="1"/>
        <v/>
      </c>
      <c r="D112" s="4"/>
      <c r="E112" s="4"/>
      <c r="F112" s="4"/>
      <c r="G112" s="4"/>
      <c r="H112" s="1" t="str">
        <f>IF(Details!$B117="","",Details!$B117)</f>
        <v>23/12/2025</v>
      </c>
      <c r="I112" s="1" t="str">
        <f>IF(H112="","",Details!$F117)</f>
        <v/>
      </c>
      <c r="J112" s="1">
        <f>IF(H112="","",Details!$E117)</f>
        <v>22000</v>
      </c>
      <c r="K112" s="1" t="str">
        <f t="shared" si="3"/>
        <v>#REF!</v>
      </c>
    </row>
    <row r="113" ht="13.5" customHeight="1">
      <c r="A113" s="1" t="str">
        <f>IF(Settings!A114="","",Settings!A114)</f>
        <v/>
      </c>
      <c r="B113" s="1" t="str">
        <f>IF($A113="","",SUMIF(Details!$C:$C,$A113,Details!$E:$E))</f>
        <v/>
      </c>
      <c r="C113" s="1" t="str">
        <f t="shared" si="1"/>
        <v/>
      </c>
      <c r="D113" s="4"/>
      <c r="E113" s="4"/>
      <c r="F113" s="4"/>
      <c r="G113" s="4"/>
      <c r="H113" s="1" t="str">
        <f>IF(Details!$B118="","",Details!$B118)</f>
        <v>23/12/2025</v>
      </c>
      <c r="I113" s="1" t="str">
        <f>IF(H113="","",Details!$F118)</f>
        <v/>
      </c>
      <c r="J113" s="1">
        <f>IF(H113="","",Details!$E118)</f>
        <v>39000</v>
      </c>
      <c r="K113" s="1" t="str">
        <f t="shared" si="3"/>
        <v>#REF!</v>
      </c>
    </row>
    <row r="114" ht="13.5" customHeight="1">
      <c r="A114" s="1" t="str">
        <f>IF(Settings!A115="","",Settings!A115)</f>
        <v/>
      </c>
      <c r="B114" s="1" t="str">
        <f>IF($A114="","",SUMIF(Details!$C:$C,$A114,Details!$E:$E))</f>
        <v/>
      </c>
      <c r="C114" s="1" t="str">
        <f t="shared" si="1"/>
        <v/>
      </c>
      <c r="D114" s="4"/>
      <c r="E114" s="4"/>
      <c r="F114" s="4"/>
      <c r="G114" s="4"/>
      <c r="H114" s="1" t="str">
        <f>IF(Details!$B119="","",Details!$B119)</f>
        <v>23/12/2025</v>
      </c>
      <c r="I114" s="1" t="str">
        <f>IF(H114="","",Details!$F119)</f>
        <v/>
      </c>
      <c r="J114" s="1">
        <f>IF(H114="","",Details!$E119)</f>
        <v>2500</v>
      </c>
      <c r="K114" s="1" t="str">
        <f t="shared" si="3"/>
        <v>#REF!</v>
      </c>
    </row>
    <row r="115" ht="13.5" customHeight="1">
      <c r="A115" s="1" t="str">
        <f>IF(Settings!A116="","",Settings!A116)</f>
        <v/>
      </c>
      <c r="B115" s="1" t="str">
        <f>IF($A115="","",SUMIF(Details!$C:$C,$A115,Details!$E:$E))</f>
        <v/>
      </c>
      <c r="C115" s="1" t="str">
        <f t="shared" si="1"/>
        <v/>
      </c>
      <c r="D115" s="4"/>
      <c r="E115" s="4"/>
      <c r="F115" s="4"/>
      <c r="G115" s="4"/>
      <c r="H115" s="1" t="str">
        <f>IF(Details!$B120="","",Details!$B120)</f>
        <v>23/12/2025</v>
      </c>
      <c r="I115" s="1" t="str">
        <f>IF(H115="","",Details!$F120)</f>
        <v/>
      </c>
      <c r="J115" s="1">
        <f>IF(H115="","",Details!$E120)</f>
        <v>161100</v>
      </c>
      <c r="K115" s="1" t="str">
        <f t="shared" si="3"/>
        <v>#REF!</v>
      </c>
    </row>
    <row r="116" ht="13.5" customHeight="1">
      <c r="A116" s="1" t="str">
        <f>IF(Settings!A117="","",Settings!A117)</f>
        <v/>
      </c>
      <c r="B116" s="1" t="str">
        <f>IF($A116="","",SUMIF(Details!$C:$C,$A116,Details!$E:$E))</f>
        <v/>
      </c>
      <c r="C116" s="1" t="str">
        <f t="shared" si="1"/>
        <v/>
      </c>
      <c r="D116" s="4"/>
      <c r="E116" s="4"/>
      <c r="F116" s="4"/>
      <c r="G116" s="4"/>
      <c r="H116" s="1" t="str">
        <f>IF(Details!$B121="","",Details!$B121)</f>
        <v>23/12/2025</v>
      </c>
      <c r="I116" s="1" t="str">
        <f>IF(H116="","",Details!$F121)</f>
        <v/>
      </c>
      <c r="J116" s="1">
        <f>IF(H116="","",Details!$E121)</f>
        <v>8000</v>
      </c>
      <c r="K116" s="1" t="str">
        <f t="shared" si="3"/>
        <v>#REF!</v>
      </c>
    </row>
    <row r="117" ht="13.5" customHeight="1">
      <c r="A117" s="1" t="str">
        <f>IF(Settings!A118="","",Settings!A118)</f>
        <v/>
      </c>
      <c r="B117" s="1" t="str">
        <f>IF($A117="","",SUMIF(Details!$C:$C,$A117,Details!$E:$E))</f>
        <v/>
      </c>
      <c r="C117" s="1" t="str">
        <f t="shared" si="1"/>
        <v/>
      </c>
      <c r="D117" s="4"/>
      <c r="E117" s="4"/>
      <c r="F117" s="4"/>
      <c r="G117" s="4"/>
      <c r="H117" s="1" t="str">
        <f>IF(Details!$B122="","",Details!$B122)</f>
        <v>23/12/2025</v>
      </c>
      <c r="I117" s="1" t="str">
        <f>IF(H117="","",Details!$F122)</f>
        <v/>
      </c>
      <c r="J117" s="1">
        <f>IF(H117="","",Details!$E122)</f>
        <v>28000</v>
      </c>
      <c r="K117" s="1" t="str">
        <f t="shared" si="3"/>
        <v>#REF!</v>
      </c>
    </row>
    <row r="118" ht="13.5" customHeight="1">
      <c r="A118" s="1" t="str">
        <f>IF(Settings!A119="","",Settings!A119)</f>
        <v/>
      </c>
      <c r="B118" s="1" t="str">
        <f>IF($A118="","",SUMIF(Details!$C:$C,$A118,Details!$E:$E))</f>
        <v/>
      </c>
      <c r="C118" s="1" t="str">
        <f t="shared" si="1"/>
        <v/>
      </c>
      <c r="D118" s="4"/>
      <c r="E118" s="4"/>
      <c r="F118" s="4"/>
      <c r="G118" s="4"/>
      <c r="H118" s="1" t="str">
        <f>IF(Details!$B123="","",Details!$B123)</f>
        <v>23/12/2025</v>
      </c>
      <c r="I118" s="1" t="str">
        <f>IF(H118="","",Details!$F123)</f>
        <v/>
      </c>
      <c r="J118" s="1">
        <f>IF(H118="","",Details!$E123)</f>
        <v>10000</v>
      </c>
      <c r="K118" s="1" t="str">
        <f t="shared" si="3"/>
        <v>#REF!</v>
      </c>
    </row>
    <row r="119" ht="13.5" customHeight="1">
      <c r="A119" s="1" t="str">
        <f>IF(Settings!A120="","",Settings!A120)</f>
        <v/>
      </c>
      <c r="B119" s="1" t="str">
        <f>IF($A119="","",SUMIF(Details!$C:$C,$A119,Details!$E:$E))</f>
        <v/>
      </c>
      <c r="C119" s="1" t="str">
        <f t="shared" si="1"/>
        <v/>
      </c>
      <c r="D119" s="4"/>
      <c r="E119" s="4"/>
      <c r="F119" s="4"/>
      <c r="G119" s="4"/>
      <c r="H119" s="1" t="str">
        <f>IF(Details!$B124="","",Details!$B124)</f>
        <v>24/12/2025</v>
      </c>
      <c r="I119" s="1" t="str">
        <f>IF(H119="","",Details!$F124)</f>
        <v/>
      </c>
      <c r="J119" s="1">
        <f>IF(H119="","",Details!$E124)</f>
        <v>39000</v>
      </c>
      <c r="K119" s="1" t="str">
        <f t="shared" si="3"/>
        <v>#REF!</v>
      </c>
    </row>
    <row r="120" ht="13.5" customHeight="1">
      <c r="A120" s="1" t="str">
        <f>IF(Settings!A121="","",Settings!A121)</f>
        <v/>
      </c>
      <c r="B120" s="1" t="str">
        <f>IF($A120="","",SUMIF(Details!$C:$C,$A120,Details!$E:$E))</f>
        <v/>
      </c>
      <c r="C120" s="1" t="str">
        <f t="shared" si="1"/>
        <v/>
      </c>
      <c r="D120" s="4"/>
      <c r="E120" s="4"/>
      <c r="F120" s="4"/>
      <c r="G120" s="4"/>
      <c r="H120" s="1" t="str">
        <f>IF(Details!$B125="","",Details!$B125)</f>
        <v>24/12/2025</v>
      </c>
      <c r="I120" s="1" t="str">
        <f>IF(H120="","",Details!$F125)</f>
        <v/>
      </c>
      <c r="J120" s="1">
        <f>IF(H120="","",Details!$E125)</f>
        <v>72000</v>
      </c>
      <c r="K120" s="1" t="str">
        <f t="shared" si="3"/>
        <v>#REF!</v>
      </c>
    </row>
    <row r="121" ht="13.5" customHeight="1">
      <c r="A121" s="1" t="str">
        <f>IF(Settings!A122="","",Settings!A122)</f>
        <v/>
      </c>
      <c r="B121" s="1" t="str">
        <f>IF($A121="","",SUMIF(Details!$C:$C,$A121,Details!$E:$E))</f>
        <v/>
      </c>
      <c r="C121" s="1" t="str">
        <f t="shared" si="1"/>
        <v/>
      </c>
      <c r="D121" s="4"/>
      <c r="E121" s="4"/>
      <c r="F121" s="4"/>
      <c r="G121" s="4"/>
      <c r="H121" s="1" t="str">
        <f>IF(Details!$B126="","",Details!$B126)</f>
        <v>24/12/2025</v>
      </c>
      <c r="I121" s="1" t="str">
        <f>IF(H121="","",Details!$F126)</f>
        <v/>
      </c>
      <c r="J121" s="1">
        <f>IF(H121="","",Details!$E126)</f>
        <v>10000</v>
      </c>
      <c r="K121" s="1" t="str">
        <f t="shared" si="3"/>
        <v>#REF!</v>
      </c>
    </row>
    <row r="122" ht="13.5" customHeight="1">
      <c r="A122" s="1" t="str">
        <f>IF(Settings!A123="","",Settings!A123)</f>
        <v/>
      </c>
      <c r="B122" s="1" t="str">
        <f>IF($A122="","",SUMIF(Details!$C:$C,$A122,Details!$E:$E))</f>
        <v/>
      </c>
      <c r="C122" s="1" t="str">
        <f t="shared" si="1"/>
        <v/>
      </c>
      <c r="D122" s="4"/>
      <c r="E122" s="4"/>
      <c r="F122" s="4"/>
      <c r="G122" s="4"/>
      <c r="H122" s="1" t="str">
        <f>IF(Details!$B127="","",Details!$B127)</f>
        <v>24/12/2025</v>
      </c>
      <c r="I122" s="1" t="str">
        <f>IF(H122="","",Details!$F127)</f>
        <v/>
      </c>
      <c r="J122" s="1">
        <f>IF(H122="","",Details!$E127)</f>
        <v>30000</v>
      </c>
      <c r="K122" s="1" t="str">
        <f t="shared" si="3"/>
        <v>#REF!</v>
      </c>
    </row>
    <row r="123" ht="13.5" customHeight="1">
      <c r="A123" s="1" t="str">
        <f>IF(Settings!A124="","",Settings!A124)</f>
        <v/>
      </c>
      <c r="B123" s="1" t="str">
        <f>IF($A123="","",SUMIF(Details!$C:$C,$A123,Details!$E:$E))</f>
        <v/>
      </c>
      <c r="C123" s="1" t="str">
        <f t="shared" si="1"/>
        <v/>
      </c>
      <c r="D123" s="4"/>
      <c r="E123" s="4"/>
      <c r="F123" s="4"/>
      <c r="G123" s="4"/>
      <c r="H123" s="1" t="str">
        <f>IF(Details!$B128="","",Details!$B128)</f>
        <v>24/12/2025</v>
      </c>
      <c r="I123" s="1" t="str">
        <f>IF(H123="","",Details!$F128)</f>
        <v/>
      </c>
      <c r="J123" s="1">
        <f>IF(H123="","",Details!$E128)</f>
        <v>10500</v>
      </c>
      <c r="K123" s="1" t="str">
        <f t="shared" si="3"/>
        <v>#REF!</v>
      </c>
    </row>
    <row r="124" ht="13.5" customHeight="1">
      <c r="A124" s="1" t="str">
        <f>IF(Settings!A125="","",Settings!A125)</f>
        <v/>
      </c>
      <c r="B124" s="1" t="str">
        <f>IF($A124="","",SUMIF(Details!$C:$C,$A124,Details!$E:$E))</f>
        <v/>
      </c>
      <c r="C124" s="1" t="str">
        <f t="shared" si="1"/>
        <v/>
      </c>
      <c r="D124" s="4"/>
      <c r="E124" s="4"/>
      <c r="F124" s="4"/>
      <c r="G124" s="4"/>
      <c r="H124" s="1" t="str">
        <f>IF(Details!$B129="","",Details!$B129)</f>
        <v>24/12/2025</v>
      </c>
      <c r="I124" s="1" t="str">
        <f>IF(H124="","",Details!$F129)</f>
        <v/>
      </c>
      <c r="J124" s="1">
        <f>IF(H124="","",Details!$E129)</f>
        <v>2200</v>
      </c>
      <c r="K124" s="1" t="str">
        <f t="shared" si="3"/>
        <v>#REF!</v>
      </c>
    </row>
    <row r="125" ht="13.5" customHeight="1">
      <c r="A125" s="1" t="str">
        <f>IF(Settings!A126="","",Settings!A126)</f>
        <v/>
      </c>
      <c r="B125" s="1" t="str">
        <f>IF($A125="","",SUMIF(Details!$C:$C,$A125,Details!$E:$E))</f>
        <v/>
      </c>
      <c r="C125" s="1" t="str">
        <f t="shared" si="1"/>
        <v/>
      </c>
      <c r="D125" s="4"/>
      <c r="E125" s="4"/>
      <c r="F125" s="4"/>
      <c r="G125" s="4"/>
      <c r="H125" s="1" t="str">
        <f>IF(Details!$B130="","",Details!$B130)</f>
        <v>24/12/2025</v>
      </c>
      <c r="I125" s="1" t="str">
        <f>IF(H125="","",Details!$F130)</f>
        <v/>
      </c>
      <c r="J125" s="1">
        <f>IF(H125="","",Details!$E130)</f>
        <v>75000</v>
      </c>
      <c r="K125" s="1" t="str">
        <f t="shared" si="3"/>
        <v>#REF!</v>
      </c>
    </row>
    <row r="126" ht="13.5" customHeight="1">
      <c r="A126" s="1" t="str">
        <f>IF(Settings!A127="","",Settings!A127)</f>
        <v/>
      </c>
      <c r="B126" s="1" t="str">
        <f>IF($A126="","",SUMIF(Details!$C:$C,$A126,Details!$E:$E))</f>
        <v/>
      </c>
      <c r="C126" s="1" t="str">
        <f t="shared" si="1"/>
        <v/>
      </c>
      <c r="D126" s="4"/>
      <c r="E126" s="4"/>
      <c r="F126" s="4"/>
      <c r="G126" s="4"/>
      <c r="H126" s="1" t="str">
        <f>IF(Details!$B131="","",Details!$B131)</f>
        <v>24/12/2025</v>
      </c>
      <c r="I126" s="1" t="str">
        <f>IF(H126="","",Details!$F131)</f>
        <v/>
      </c>
      <c r="J126" s="1">
        <f>IF(H126="","",Details!$E131)</f>
        <v>297000</v>
      </c>
      <c r="K126" s="1" t="str">
        <f t="shared" si="3"/>
        <v>#REF!</v>
      </c>
    </row>
    <row r="127" ht="13.5" customHeight="1">
      <c r="A127" s="1" t="str">
        <f>IF(Settings!A128="","",Settings!A128)</f>
        <v/>
      </c>
      <c r="B127" s="1" t="str">
        <f>IF($A127="","",SUMIF(Details!$C:$C,$A127,Details!$E:$E))</f>
        <v/>
      </c>
      <c r="C127" s="1" t="str">
        <f t="shared" si="1"/>
        <v/>
      </c>
      <c r="D127" s="4"/>
      <c r="E127" s="4"/>
      <c r="F127" s="4"/>
      <c r="G127" s="4"/>
      <c r="H127" s="1" t="str">
        <f>IF(Details!$B132="","",Details!$B132)</f>
        <v>24/12/2025</v>
      </c>
      <c r="I127" s="1" t="str">
        <f>IF(H127="","",Details!$F132)</f>
        <v/>
      </c>
      <c r="J127" s="1">
        <f>IF(H127="","",Details!$E132)</f>
        <v>72000</v>
      </c>
      <c r="K127" s="1" t="str">
        <f t="shared" si="3"/>
        <v>#REF!</v>
      </c>
    </row>
    <row r="128" ht="13.5" customHeight="1">
      <c r="A128" s="1" t="str">
        <f>IF(Settings!A129="","",Settings!A129)</f>
        <v/>
      </c>
      <c r="B128" s="1" t="str">
        <f>IF($A128="","",SUMIF(Details!$C:$C,$A128,Details!$E:$E))</f>
        <v/>
      </c>
      <c r="C128" s="1" t="str">
        <f t="shared" si="1"/>
        <v/>
      </c>
      <c r="D128" s="4"/>
      <c r="E128" s="4"/>
      <c r="F128" s="4"/>
      <c r="G128" s="4"/>
      <c r="H128" s="1" t="str">
        <f>IF(Details!$B133="","",Details!$B133)</f>
        <v>24/12/2025</v>
      </c>
      <c r="I128" s="1" t="str">
        <f>IF(H128="","",Details!$F133)</f>
        <v/>
      </c>
      <c r="J128" s="1">
        <f>IF(H128="","",Details!$E133)</f>
        <v>8000</v>
      </c>
      <c r="K128" s="1" t="str">
        <f t="shared" si="3"/>
        <v>#REF!</v>
      </c>
    </row>
    <row r="129" ht="13.5" customHeight="1">
      <c r="A129" s="1" t="str">
        <f>IF(Settings!A130="","",Settings!A130)</f>
        <v/>
      </c>
      <c r="B129" s="1" t="str">
        <f>IF($A129="","",SUMIF(Details!$C:$C,$A129,Details!$E:$E))</f>
        <v/>
      </c>
      <c r="C129" s="1" t="str">
        <f t="shared" si="1"/>
        <v/>
      </c>
      <c r="D129" s="4"/>
      <c r="E129" s="4"/>
      <c r="F129" s="4"/>
      <c r="G129" s="4"/>
      <c r="H129" s="1" t="str">
        <f>IF(Details!$B134="","",Details!$B134)</f>
        <v>24/12/2025</v>
      </c>
      <c r="I129" s="1" t="str">
        <f>IF(H129="","",Details!$F134)</f>
        <v/>
      </c>
      <c r="J129" s="1">
        <f>IF(H129="","",Details!$E134)</f>
        <v>10000</v>
      </c>
      <c r="K129" s="1" t="str">
        <f t="shared" si="3"/>
        <v>#REF!</v>
      </c>
    </row>
    <row r="130" ht="13.5" customHeight="1">
      <c r="A130" s="1" t="str">
        <f>IF(Settings!A131="","",Settings!A131)</f>
        <v/>
      </c>
      <c r="B130" s="1" t="str">
        <f>IF($A130="","",SUMIF(Details!$C:$C,$A130,Details!$E:$E))</f>
        <v/>
      </c>
      <c r="C130" s="1" t="str">
        <f t="shared" si="1"/>
        <v/>
      </c>
      <c r="D130" s="4"/>
      <c r="E130" s="4"/>
      <c r="F130" s="4"/>
      <c r="G130" s="4"/>
      <c r="H130" s="1" t="str">
        <f>IF(Details!$B135="","",Details!$B135)</f>
        <v>24/12/2025</v>
      </c>
      <c r="I130" s="1" t="str">
        <f>IF(H130="","",Details!$F135)</f>
        <v/>
      </c>
      <c r="J130" s="1">
        <f>IF(H130="","",Details!$E135)</f>
        <v>17000</v>
      </c>
      <c r="K130" s="1" t="str">
        <f t="shared" si="3"/>
        <v>#REF!</v>
      </c>
    </row>
    <row r="131" ht="13.5" customHeight="1">
      <c r="A131" s="1" t="str">
        <f>IF(Settings!A132="","",Settings!A132)</f>
        <v/>
      </c>
      <c r="B131" s="1" t="str">
        <f>IF($A131="","",SUMIF(Details!$C:$C,$A131,Details!$E:$E))</f>
        <v/>
      </c>
      <c r="C131" s="1" t="str">
        <f t="shared" si="1"/>
        <v/>
      </c>
      <c r="D131" s="4"/>
      <c r="E131" s="4"/>
      <c r="F131" s="4"/>
      <c r="G131" s="4"/>
      <c r="H131" s="1" t="str">
        <f>IF(Details!$B136="","",Details!$B136)</f>
        <v>25/12/2025</v>
      </c>
      <c r="I131" s="1" t="str">
        <f>IF(H131="","",Details!$F136)</f>
        <v/>
      </c>
      <c r="J131" s="1">
        <f>IF(H131="","",Details!$E136)</f>
        <v>480000</v>
      </c>
      <c r="K131" s="1" t="str">
        <f t="shared" si="3"/>
        <v>#REF!</v>
      </c>
    </row>
    <row r="132" ht="13.5" customHeight="1">
      <c r="A132" s="1" t="str">
        <f>IF(Settings!A133="","",Settings!A133)</f>
        <v/>
      </c>
      <c r="B132" s="1" t="str">
        <f>IF($A132="","",SUMIF(Details!$C:$C,$A132,Details!$E:$E))</f>
        <v/>
      </c>
      <c r="C132" s="1" t="str">
        <f t="shared" si="1"/>
        <v/>
      </c>
      <c r="D132" s="4"/>
      <c r="E132" s="4"/>
      <c r="F132" s="4"/>
      <c r="G132" s="4"/>
      <c r="H132" s="1" t="str">
        <f>IF(Details!$B137="","",Details!$B137)</f>
        <v>25/12/2025</v>
      </c>
      <c r="I132" s="1" t="str">
        <f>IF(H132="","",Details!$F137)</f>
        <v/>
      </c>
      <c r="J132" s="1">
        <f>IF(H132="","",Details!$E137)</f>
        <v>15000</v>
      </c>
      <c r="K132" s="1" t="str">
        <f t="shared" si="3"/>
        <v>#REF!</v>
      </c>
    </row>
    <row r="133" ht="13.5" customHeight="1">
      <c r="A133" s="1" t="str">
        <f>IF(Settings!A134="","",Settings!A134)</f>
        <v/>
      </c>
      <c r="B133" s="1" t="str">
        <f>IF($A133="","",SUMIF(Details!$C:$C,$A133,Details!$E:$E))</f>
        <v/>
      </c>
      <c r="C133" s="1" t="str">
        <f t="shared" si="1"/>
        <v/>
      </c>
      <c r="D133" s="4"/>
      <c r="E133" s="4"/>
      <c r="F133" s="4"/>
      <c r="G133" s="4"/>
      <c r="H133" s="1" t="str">
        <f>IF(Details!$B138="","",Details!$B138)</f>
        <v>25/12/2025</v>
      </c>
      <c r="I133" s="1" t="str">
        <f>IF(H133="","",Details!$F138)</f>
        <v/>
      </c>
      <c r="J133" s="1">
        <f>IF(H133="","",Details!$E138)</f>
        <v>50000</v>
      </c>
      <c r="K133" s="1" t="str">
        <f t="shared" si="3"/>
        <v>#REF!</v>
      </c>
    </row>
    <row r="134" ht="13.5" customHeight="1">
      <c r="A134" s="1" t="str">
        <f>IF(Settings!A135="","",Settings!A135)</f>
        <v/>
      </c>
      <c r="B134" s="1" t="str">
        <f>IF($A134="","",SUMIF(Details!$C:$C,$A134,Details!$E:$E))</f>
        <v/>
      </c>
      <c r="C134" s="1" t="str">
        <f t="shared" si="1"/>
        <v/>
      </c>
      <c r="D134" s="4"/>
      <c r="E134" s="4"/>
      <c r="F134" s="4"/>
      <c r="G134" s="4"/>
      <c r="H134" s="1" t="str">
        <f>IF(Details!$B139="","",Details!$B139)</f>
        <v>25/12/2025</v>
      </c>
      <c r="I134" s="1" t="str">
        <f>IF(H134="","",Details!$F139)</f>
        <v/>
      </c>
      <c r="J134" s="1">
        <f>IF(H134="","",Details!$E139)</f>
        <v>10000</v>
      </c>
      <c r="K134" s="1" t="str">
        <f t="shared" si="3"/>
        <v>#REF!</v>
      </c>
    </row>
    <row r="135" ht="13.5" customHeight="1">
      <c r="A135" s="1" t="str">
        <f>IF(Settings!A136="","",Settings!A136)</f>
        <v/>
      </c>
      <c r="B135" s="1" t="str">
        <f>IF($A135="","",SUMIF(Details!$C:$C,$A135,Details!$E:$E))</f>
        <v/>
      </c>
      <c r="C135" s="1" t="str">
        <f t="shared" si="1"/>
        <v/>
      </c>
      <c r="D135" s="4"/>
      <c r="E135" s="4"/>
      <c r="F135" s="4"/>
      <c r="G135" s="4"/>
      <c r="H135" s="1" t="str">
        <f>IF(Details!$B140="","",Details!$B140)</f>
        <v>25/12/2025</v>
      </c>
      <c r="I135" s="1" t="str">
        <f>IF(H135="","",Details!$F140)</f>
        <v/>
      </c>
      <c r="J135" s="1">
        <f>IF(H135="","",Details!$E140)</f>
        <v>2500</v>
      </c>
      <c r="K135" s="1" t="str">
        <f t="shared" si="3"/>
        <v>#REF!</v>
      </c>
    </row>
    <row r="136" ht="13.5" customHeight="1">
      <c r="A136" s="1" t="str">
        <f>IF(Settings!A137="","",Settings!A137)</f>
        <v/>
      </c>
      <c r="B136" s="1" t="str">
        <f>IF($A136="","",SUMIF(Details!$C:$C,$A136,Details!$E:$E))</f>
        <v/>
      </c>
      <c r="C136" s="1" t="str">
        <f t="shared" si="1"/>
        <v/>
      </c>
      <c r="D136" s="4"/>
      <c r="E136" s="4"/>
      <c r="F136" s="4"/>
      <c r="G136" s="4"/>
      <c r="H136" s="1" t="str">
        <f>IF(Details!$B141="","",Details!$B141)</f>
        <v>25/12/2025</v>
      </c>
      <c r="I136" s="1" t="str">
        <f>IF(H136="","",Details!$F141)</f>
        <v/>
      </c>
      <c r="J136" s="1">
        <f>IF(H136="","",Details!$E141)</f>
        <v>50000</v>
      </c>
      <c r="K136" s="1" t="str">
        <f t="shared" si="3"/>
        <v>#REF!</v>
      </c>
    </row>
    <row r="137" ht="13.5" customHeight="1">
      <c r="A137" s="1" t="str">
        <f>IF(Settings!A138="","",Settings!A138)</f>
        <v/>
      </c>
      <c r="B137" s="1" t="str">
        <f>IF($A137="","",SUMIF(Details!$C:$C,$A137,Details!$E:$E))</f>
        <v/>
      </c>
      <c r="C137" s="1" t="str">
        <f t="shared" si="1"/>
        <v/>
      </c>
      <c r="D137" s="4"/>
      <c r="E137" s="4"/>
      <c r="F137" s="4"/>
      <c r="G137" s="4"/>
      <c r="H137" s="1" t="str">
        <f>IF(Details!$B142="","",Details!$B142)</f>
        <v>25/12/2025</v>
      </c>
      <c r="I137" s="1" t="str">
        <f>IF(H137="","",Details!$F142)</f>
        <v/>
      </c>
      <c r="J137" s="1">
        <f>IF(H137="","",Details!$E142)</f>
        <v>36000</v>
      </c>
      <c r="K137" s="1" t="str">
        <f t="shared" si="3"/>
        <v>#REF!</v>
      </c>
    </row>
    <row r="138" ht="13.5" customHeight="1">
      <c r="A138" s="1" t="str">
        <f>IF(Settings!A139="","",Settings!A139)</f>
        <v/>
      </c>
      <c r="B138" s="1" t="str">
        <f>IF($A138="","",SUMIF(Details!$C:$C,$A138,Details!$E:$E))</f>
        <v/>
      </c>
      <c r="C138" s="1" t="str">
        <f t="shared" si="1"/>
        <v/>
      </c>
      <c r="D138" s="4"/>
      <c r="E138" s="4"/>
      <c r="F138" s="4"/>
      <c r="G138" s="4"/>
      <c r="H138" s="1" t="str">
        <f>IF(Details!$B143="","",Details!$B143)</f>
        <v>29/12/2025</v>
      </c>
      <c r="I138" s="1" t="str">
        <f>IF(H138="","",Details!$F143)</f>
        <v/>
      </c>
      <c r="J138" s="1">
        <f>IF(H138="","",Details!$E143)</f>
        <v>5000</v>
      </c>
      <c r="K138" s="1" t="str">
        <f t="shared" si="3"/>
        <v>#REF!</v>
      </c>
    </row>
    <row r="139" ht="13.5" customHeight="1">
      <c r="A139" s="1" t="str">
        <f>IF(Settings!A140="","",Settings!A140)</f>
        <v/>
      </c>
      <c r="B139" s="1" t="str">
        <f>IF($A139="","",SUMIF(Details!$C:$C,$A139,Details!$E:$E))</f>
        <v/>
      </c>
      <c r="C139" s="1" t="str">
        <f t="shared" si="1"/>
        <v/>
      </c>
      <c r="D139" s="4"/>
      <c r="E139" s="4"/>
      <c r="F139" s="4"/>
      <c r="G139" s="4"/>
      <c r="H139" s="1" t="str">
        <f>IF(Details!$B144="","",Details!$B144)</f>
        <v>29/12/2025</v>
      </c>
      <c r="I139" s="1" t="str">
        <f>IF(H139="","",Details!$F144)</f>
        <v/>
      </c>
      <c r="J139" s="1">
        <f>IF(H139="","",Details!$E144)</f>
        <v>10000</v>
      </c>
      <c r="K139" s="1" t="str">
        <f t="shared" si="3"/>
        <v>#REF!</v>
      </c>
    </row>
    <row r="140" ht="13.5" customHeight="1">
      <c r="A140" s="1" t="str">
        <f>IF(Settings!A141="","",Settings!A141)</f>
        <v/>
      </c>
      <c r="B140" s="1" t="str">
        <f>IF($A140="","",SUMIF(Details!$C:$C,$A140,Details!$E:$E))</f>
        <v/>
      </c>
      <c r="C140" s="1" t="str">
        <f t="shared" si="1"/>
        <v/>
      </c>
      <c r="D140" s="4"/>
      <c r="E140" s="4"/>
      <c r="F140" s="4"/>
      <c r="G140" s="4"/>
      <c r="H140" s="1" t="str">
        <f>IF(Details!$B145="","",Details!$B145)</f>
        <v>30/12/2025</v>
      </c>
      <c r="I140" s="1" t="str">
        <f>IF(H140="","",Details!$F145)</f>
        <v/>
      </c>
      <c r="J140" s="1">
        <f>IF(H140="","",Details!$E145)</f>
        <v>50000</v>
      </c>
      <c r="K140" s="1" t="str">
        <f t="shared" si="3"/>
        <v>#REF!</v>
      </c>
    </row>
    <row r="141" ht="13.5" customHeight="1">
      <c r="A141" s="1" t="str">
        <f>IF(Settings!A142="","",Settings!A142)</f>
        <v/>
      </c>
      <c r="B141" s="1" t="str">
        <f>IF($A141="","",SUMIF(Details!$C:$C,$A141,Details!$E:$E))</f>
        <v/>
      </c>
      <c r="C141" s="1" t="str">
        <f t="shared" si="1"/>
        <v/>
      </c>
      <c r="D141" s="4"/>
      <c r="E141" s="4"/>
      <c r="F141" s="4"/>
      <c r="G141" s="4"/>
      <c r="H141" s="1" t="str">
        <f>IF(Details!$B146="","",Details!$B146)</f>
        <v>30/12/2025</v>
      </c>
      <c r="I141" s="1" t="str">
        <f>IF(H141="","",Details!$F146)</f>
        <v/>
      </c>
      <c r="J141" s="1">
        <f>IF(H141="","",Details!$E146)</f>
        <v>4000</v>
      </c>
      <c r="K141" s="1" t="str">
        <f t="shared" si="3"/>
        <v>#REF!</v>
      </c>
    </row>
    <row r="142" ht="13.5" customHeight="1">
      <c r="A142" s="1" t="str">
        <f>IF(Settings!A143="","",Settings!A143)</f>
        <v/>
      </c>
      <c r="B142" s="1" t="str">
        <f>IF($A142="","",SUMIF(Details!$C:$C,$A142,Details!$E:$E))</f>
        <v/>
      </c>
      <c r="C142" s="1" t="str">
        <f t="shared" si="1"/>
        <v/>
      </c>
      <c r="D142" s="4"/>
      <c r="E142" s="4"/>
      <c r="F142" s="4"/>
      <c r="G142" s="4"/>
      <c r="H142" s="1" t="str">
        <f>IF(Details!$B147="","",Details!$B147)</f>
        <v>30/12/2025</v>
      </c>
      <c r="I142" s="1" t="str">
        <f>IF(H142="","",Details!$F147)</f>
        <v/>
      </c>
      <c r="J142" s="1">
        <f>IF(H142="","",Details!$E147)</f>
        <v>10000</v>
      </c>
      <c r="K142" s="1" t="str">
        <f t="shared" si="3"/>
        <v>#REF!</v>
      </c>
    </row>
    <row r="143" ht="13.5" customHeight="1">
      <c r="A143" s="1" t="str">
        <f>IF(Settings!A144="","",Settings!A144)</f>
        <v/>
      </c>
      <c r="B143" s="1" t="str">
        <f>IF($A143="","",SUMIF(Details!$C:$C,$A143,Details!$E:$E))</f>
        <v/>
      </c>
      <c r="C143" s="1" t="str">
        <f t="shared" si="1"/>
        <v/>
      </c>
      <c r="D143" s="4"/>
      <c r="E143" s="4"/>
      <c r="F143" s="4"/>
      <c r="G143" s="4"/>
      <c r="H143" s="1" t="str">
        <f>IF(Details!$B148="","",Details!$B148)</f>
        <v>30/12/2025</v>
      </c>
      <c r="I143" s="1" t="str">
        <f>IF(H143="","",Details!$F148)</f>
        <v/>
      </c>
      <c r="J143" s="1">
        <f>IF(H143="","",Details!$E148)</f>
        <v>10000</v>
      </c>
      <c r="K143" s="1" t="str">
        <f t="shared" si="3"/>
        <v>#REF!</v>
      </c>
    </row>
    <row r="144" ht="13.5" customHeight="1">
      <c r="A144" s="1" t="str">
        <f>IF(Settings!A145="","",Settings!A145)</f>
        <v/>
      </c>
      <c r="B144" s="1" t="str">
        <f>IF($A144="","",SUMIF(Details!$C:$C,$A144,Details!$E:$E))</f>
        <v/>
      </c>
      <c r="C144" s="1" t="str">
        <f t="shared" si="1"/>
        <v/>
      </c>
      <c r="D144" s="4"/>
      <c r="E144" s="4"/>
      <c r="F144" s="4"/>
      <c r="G144" s="4"/>
      <c r="H144" s="1" t="str">
        <f>IF(Details!$B149="","",Details!$B149)</f>
        <v>31/12/2025</v>
      </c>
      <c r="I144" s="1" t="str">
        <f>IF(H144="","",Details!$F149)</f>
        <v/>
      </c>
      <c r="J144" s="1">
        <f>IF(H144="","",Details!$E149)</f>
        <v>72000</v>
      </c>
      <c r="K144" s="1" t="str">
        <f t="shared" si="3"/>
        <v>#REF!</v>
      </c>
    </row>
    <row r="145" ht="13.5" customHeight="1">
      <c r="A145" s="1" t="str">
        <f>IF(Settings!A146="","",Settings!A146)</f>
        <v/>
      </c>
      <c r="B145" s="1" t="str">
        <f>IF($A145="","",SUMIF(Details!$C:$C,$A145,Details!$E:$E))</f>
        <v/>
      </c>
      <c r="C145" s="1" t="str">
        <f t="shared" si="1"/>
        <v/>
      </c>
      <c r="D145" s="4"/>
      <c r="E145" s="4"/>
      <c r="F145" s="4"/>
      <c r="G145" s="4"/>
      <c r="H145" s="1" t="str">
        <f>IF(Details!$B150="","",Details!$B150)</f>
        <v>31/12/2025</v>
      </c>
      <c r="I145" s="1" t="str">
        <f>IF(H145="","",Details!$F150)</f>
        <v/>
      </c>
      <c r="J145" s="1">
        <f>IF(H145="","",Details!$E150)</f>
        <v>5000</v>
      </c>
      <c r="K145" s="1" t="str">
        <f t="shared" si="3"/>
        <v>#REF!</v>
      </c>
    </row>
    <row r="146" ht="13.5" customHeight="1">
      <c r="A146" s="1" t="str">
        <f>IF(Settings!A147="","",Settings!A147)</f>
        <v/>
      </c>
      <c r="B146" s="1" t="str">
        <f>IF($A146="","",SUMIF(Details!$C:$C,$A146,Details!$E:$E))</f>
        <v/>
      </c>
      <c r="C146" s="1" t="str">
        <f t="shared" si="1"/>
        <v/>
      </c>
      <c r="D146" s="4"/>
      <c r="E146" s="4"/>
      <c r="F146" s="4"/>
      <c r="G146" s="4"/>
      <c r="H146" s="1" t="str">
        <f>IF(Details!$B151="","",Details!$B151)</f>
        <v>31/12/2025</v>
      </c>
      <c r="I146" s="1" t="str">
        <f>IF(H146="","",Details!$F151)</f>
        <v/>
      </c>
      <c r="J146" s="1">
        <f>IF(H146="","",Details!$E151)</f>
        <v>10000</v>
      </c>
      <c r="K146" s="1" t="str">
        <f t="shared" si="3"/>
        <v>#REF!</v>
      </c>
    </row>
    <row r="147" ht="13.5" customHeight="1">
      <c r="A147" s="1" t="str">
        <f>IF(Settings!A148="","",Settings!A148)</f>
        <v/>
      </c>
      <c r="B147" s="1" t="str">
        <f>IF($A147="","",SUMIF(Details!$C:$C,$A147,Details!$E:$E))</f>
        <v/>
      </c>
      <c r="C147" s="1" t="str">
        <f t="shared" si="1"/>
        <v/>
      </c>
      <c r="D147" s="4"/>
      <c r="E147" s="4"/>
      <c r="F147" s="4"/>
      <c r="G147" s="4"/>
      <c r="H147" s="1" t="str">
        <f>IF(Details!$B152="","",Details!$B152)</f>
        <v>31/12/2025</v>
      </c>
      <c r="I147" s="1" t="str">
        <f>IF(H147="","",Details!$F152)</f>
        <v/>
      </c>
      <c r="J147" s="1">
        <f>IF(H147="","",Details!$E152)</f>
        <v>152000</v>
      </c>
      <c r="K147" s="1" t="str">
        <f t="shared" si="3"/>
        <v>#REF!</v>
      </c>
    </row>
    <row r="148" ht="13.5" customHeight="1">
      <c r="A148" s="1" t="str">
        <f>IF(Settings!A149="","",Settings!A149)</f>
        <v/>
      </c>
      <c r="B148" s="1" t="str">
        <f>IF($A148="","",SUMIF(Details!$C:$C,$A148,Details!$E:$E))</f>
        <v/>
      </c>
      <c r="C148" s="1" t="str">
        <f t="shared" si="1"/>
        <v/>
      </c>
      <c r="D148" s="4"/>
      <c r="E148" s="4"/>
      <c r="F148" s="4"/>
      <c r="G148" s="4"/>
      <c r="H148" s="1" t="str">
        <f>IF(Details!$B153="","",Details!$B153)</f>
        <v>31/12/2025</v>
      </c>
      <c r="I148" s="1" t="str">
        <f>IF(H148="","",Details!$F153)</f>
        <v/>
      </c>
      <c r="J148" s="1">
        <f>IF(H148="","",Details!$E153)</f>
        <v>6000</v>
      </c>
      <c r="K148" s="1" t="str">
        <f t="shared" si="3"/>
        <v>#REF!</v>
      </c>
    </row>
    <row r="149" ht="13.5" customHeight="1">
      <c r="A149" s="1" t="str">
        <f>IF(Settings!A150="","",Settings!A150)</f>
        <v/>
      </c>
      <c r="B149" s="1" t="str">
        <f>IF($A149="","",SUMIF(Details!$C:$C,$A149,Details!$E:$E))</f>
        <v/>
      </c>
      <c r="C149" s="1" t="str">
        <f t="shared" si="1"/>
        <v/>
      </c>
      <c r="D149" s="4"/>
      <c r="E149" s="4"/>
      <c r="F149" s="4"/>
      <c r="G149" s="4"/>
      <c r="H149" s="1" t="str">
        <f>IF(Details!$B154="","",Details!$B154)</f>
        <v>31/12/2025</v>
      </c>
      <c r="I149" s="1" t="str">
        <f>IF(H149="","",Details!$F154)</f>
        <v/>
      </c>
      <c r="J149" s="1">
        <f>IF(H149="","",Details!$E154)</f>
        <v>10000</v>
      </c>
      <c r="K149" s="1" t="str">
        <f t="shared" si="3"/>
        <v>#REF!</v>
      </c>
    </row>
    <row r="150" ht="13.5" customHeight="1">
      <c r="A150" s="1" t="str">
        <f>IF(Settings!A151="","",Settings!A151)</f>
        <v/>
      </c>
      <c r="B150" s="1" t="str">
        <f>IF($A150="","",SUMIF(Details!$C:$C,$A150,Details!$E:$E))</f>
        <v/>
      </c>
      <c r="C150" s="1" t="str">
        <f t="shared" si="1"/>
        <v/>
      </c>
      <c r="D150" s="4"/>
      <c r="E150" s="4"/>
      <c r="F150" s="4"/>
      <c r="G150" s="4"/>
      <c r="H150" s="13">
        <f>IF(Details!$B155="","",Details!$B155)</f>
        <v>46023</v>
      </c>
      <c r="I150" s="1" t="str">
        <f>IF(H150="","",Details!$F155)</f>
        <v/>
      </c>
      <c r="J150" s="1">
        <f>IF(H150="","",Details!$E155)</f>
        <v>72000</v>
      </c>
      <c r="K150" s="1" t="str">
        <f t="shared" si="3"/>
        <v>#REF!</v>
      </c>
    </row>
    <row r="151" ht="13.5" customHeight="1">
      <c r="A151" s="1" t="str">
        <f>IF(Settings!A152="","",Settings!A152)</f>
        <v/>
      </c>
      <c r="B151" s="1" t="str">
        <f>IF($A151="","",SUMIF(Details!$C:$C,$A151,Details!$E:$E))</f>
        <v/>
      </c>
      <c r="C151" s="1" t="str">
        <f t="shared" si="1"/>
        <v/>
      </c>
      <c r="D151" s="4"/>
      <c r="E151" s="4"/>
      <c r="F151" s="4"/>
      <c r="G151" s="4"/>
      <c r="H151" s="13">
        <f>IF(Details!$B156="","",Details!$B156)</f>
        <v>46023</v>
      </c>
      <c r="I151" s="1" t="str">
        <f>IF(H151="","",Details!$F156)</f>
        <v/>
      </c>
      <c r="J151" s="1">
        <f>IF(H151="","",Details!$E156)</f>
        <v>5000</v>
      </c>
      <c r="K151" s="1" t="str">
        <f t="shared" si="3"/>
        <v>#REF!</v>
      </c>
    </row>
    <row r="152" ht="13.5" customHeight="1">
      <c r="A152" s="1" t="str">
        <f>IF(Settings!A153="","",Settings!A153)</f>
        <v/>
      </c>
      <c r="B152" s="1" t="str">
        <f>IF($A152="","",SUMIF(Details!$C:$C,$A152,Details!$E:$E))</f>
        <v/>
      </c>
      <c r="C152" s="1" t="str">
        <f t="shared" si="1"/>
        <v/>
      </c>
      <c r="D152" s="4"/>
      <c r="E152" s="4"/>
      <c r="F152" s="4"/>
      <c r="G152" s="4"/>
      <c r="H152" s="13">
        <f>IF(Details!$B157="","",Details!$B157)</f>
        <v>46023</v>
      </c>
      <c r="I152" s="1" t="str">
        <f>IF(H152="","",Details!$F157)</f>
        <v/>
      </c>
      <c r="J152" s="1">
        <f>IF(H152="","",Details!$E157)</f>
        <v>9000</v>
      </c>
      <c r="K152" s="1" t="str">
        <f t="shared" si="3"/>
        <v>#REF!</v>
      </c>
    </row>
    <row r="153" ht="13.5" customHeight="1">
      <c r="A153" s="1" t="str">
        <f>IF(Settings!A154="","",Settings!A154)</f>
        <v/>
      </c>
      <c r="B153" s="1" t="str">
        <f>IF($A153="","",SUMIF(Details!$C:$C,$A153,Details!$E:$E))</f>
        <v/>
      </c>
      <c r="C153" s="1" t="str">
        <f t="shared" si="1"/>
        <v/>
      </c>
      <c r="D153" s="4"/>
      <c r="E153" s="4"/>
      <c r="F153" s="4"/>
      <c r="G153" s="4"/>
      <c r="H153" s="13">
        <f>IF(Details!$B158="","",Details!$B158)</f>
        <v>46023</v>
      </c>
      <c r="I153" s="1" t="str">
        <f>IF(H153="","",Details!$F158)</f>
        <v/>
      </c>
      <c r="J153" s="1">
        <f>IF(H153="","",Details!$E158)</f>
        <v>2500</v>
      </c>
      <c r="K153" s="1" t="str">
        <f t="shared" si="3"/>
        <v>#REF!</v>
      </c>
    </row>
    <row r="154" ht="13.5" customHeight="1">
      <c r="A154" s="1" t="str">
        <f>IF(Settings!A155="","",Settings!A155)</f>
        <v/>
      </c>
      <c r="B154" s="1" t="str">
        <f>IF($A154="","",SUMIF(Details!$C:$C,$A154,Details!$E:$E))</f>
        <v/>
      </c>
      <c r="C154" s="1" t="str">
        <f t="shared" si="1"/>
        <v/>
      </c>
      <c r="D154" s="4"/>
      <c r="E154" s="4"/>
      <c r="F154" s="4"/>
      <c r="G154" s="4"/>
      <c r="H154" s="13">
        <f>IF(Details!$B159="","",Details!$B159)</f>
        <v>46023</v>
      </c>
      <c r="I154" s="1" t="str">
        <f>IF(H154="","",Details!$F159)</f>
        <v/>
      </c>
      <c r="J154" s="1">
        <f>IF(H154="","",Details!$E159)</f>
        <v>2000</v>
      </c>
      <c r="K154" s="1" t="str">
        <f t="shared" si="3"/>
        <v>#REF!</v>
      </c>
    </row>
    <row r="155" ht="13.5" customHeight="1">
      <c r="A155" s="1" t="str">
        <f>IF(Settings!A156="","",Settings!A156)</f>
        <v/>
      </c>
      <c r="B155" s="1" t="str">
        <f>IF($A155="","",SUMIF(Details!$C:$C,$A155,Details!$E:$E))</f>
        <v/>
      </c>
      <c r="C155" s="1" t="str">
        <f t="shared" si="1"/>
        <v/>
      </c>
      <c r="D155" s="4"/>
      <c r="E155" s="4"/>
      <c r="F155" s="4"/>
      <c r="G155" s="4"/>
      <c r="H155" s="13">
        <f>IF(Details!$B160="","",Details!$B160)</f>
        <v>46023</v>
      </c>
      <c r="I155" s="1" t="str">
        <f>IF(H155="","",Details!$F160)</f>
        <v/>
      </c>
      <c r="J155" s="1">
        <f>IF(H155="","",Details!$E160)</f>
        <v>10000</v>
      </c>
      <c r="K155" s="1" t="str">
        <f t="shared" si="3"/>
        <v>#REF!</v>
      </c>
    </row>
    <row r="156" ht="13.5" customHeight="1">
      <c r="A156" s="1" t="str">
        <f>IF(Settings!A157="","",Settings!A157)</f>
        <v/>
      </c>
      <c r="B156" s="1" t="str">
        <f>IF($A156="","",SUMIF(Details!$C:$C,$A156,Details!$E:$E))</f>
        <v/>
      </c>
      <c r="C156" s="1" t="str">
        <f t="shared" si="1"/>
        <v/>
      </c>
      <c r="D156" s="4"/>
      <c r="E156" s="4"/>
      <c r="F156" s="4"/>
      <c r="G156" s="4"/>
      <c r="H156" s="13">
        <f>IF(Details!$B162="","",Details!$B162)</f>
        <v>46054</v>
      </c>
      <c r="I156" s="1" t="str">
        <f>IF(H156="","",Details!$F162)</f>
        <v/>
      </c>
      <c r="J156" s="1">
        <f>IF(H156="","",Details!$E162)</f>
        <v>72000</v>
      </c>
      <c r="K156" s="1" t="str">
        <f t="shared" si="3"/>
        <v>#REF!</v>
      </c>
    </row>
    <row r="157" ht="13.5" customHeight="1">
      <c r="A157" s="1" t="str">
        <f>IF(Settings!A158="","",Settings!A158)</f>
        <v/>
      </c>
      <c r="B157" s="1" t="str">
        <f>IF($A157="","",SUMIF(Details!$C:$C,$A157,Details!$E:$E))</f>
        <v/>
      </c>
      <c r="C157" s="1" t="str">
        <f t="shared" si="1"/>
        <v/>
      </c>
      <c r="D157" s="4"/>
      <c r="E157" s="4"/>
      <c r="F157" s="4"/>
      <c r="G157" s="4"/>
      <c r="H157" s="13">
        <f>IF(Details!$B163="","",Details!$B163)</f>
        <v>46054</v>
      </c>
      <c r="I157" s="1" t="str">
        <f>IF(H157="","",Details!$F163)</f>
        <v/>
      </c>
      <c r="J157" s="1">
        <f>IF(H157="","",Details!$E163)</f>
        <v>5000</v>
      </c>
      <c r="K157" s="1" t="str">
        <f t="shared" si="3"/>
        <v>#REF!</v>
      </c>
    </row>
    <row r="158" ht="13.5" customHeight="1">
      <c r="A158" s="1" t="str">
        <f>IF(Settings!A159="","",Settings!A159)</f>
        <v/>
      </c>
      <c r="B158" s="1" t="str">
        <f>IF($A158="","",SUMIF(Details!$C:$C,$A158,Details!$E:$E))</f>
        <v/>
      </c>
      <c r="C158" s="1" t="str">
        <f t="shared" si="1"/>
        <v/>
      </c>
      <c r="D158" s="4"/>
      <c r="E158" s="4"/>
      <c r="F158" s="4"/>
      <c r="G158" s="4"/>
      <c r="H158" s="13">
        <f>IF(Details!$B164="","",Details!$B164)</f>
        <v>46054</v>
      </c>
      <c r="I158" s="1" t="str">
        <f>IF(H158="","",Details!$F164)</f>
        <v/>
      </c>
      <c r="J158" s="1">
        <f>IF(H158="","",Details!$E164)</f>
        <v>18500</v>
      </c>
      <c r="K158" s="1" t="str">
        <f t="shared" si="3"/>
        <v>#REF!</v>
      </c>
    </row>
    <row r="159" ht="13.5" customHeight="1">
      <c r="A159" s="1" t="str">
        <f>IF(Settings!A160="","",Settings!A160)</f>
        <v/>
      </c>
      <c r="B159" s="1" t="str">
        <f>IF($A159="","",SUMIF(Details!$C:$C,$A159,Details!$E:$E))</f>
        <v/>
      </c>
      <c r="C159" s="1" t="str">
        <f t="shared" si="1"/>
        <v/>
      </c>
      <c r="D159" s="4"/>
      <c r="E159" s="4"/>
      <c r="F159" s="4"/>
      <c r="G159" s="4"/>
      <c r="H159" s="13">
        <f>IF(Details!$B165="","",Details!$B165)</f>
        <v>46054</v>
      </c>
      <c r="I159" s="1" t="str">
        <f>IF(H159="","",Details!$F165)</f>
        <v/>
      </c>
      <c r="J159" s="1">
        <f>IF(H159="","",Details!$E165)</f>
        <v>10000</v>
      </c>
      <c r="K159" s="1" t="str">
        <f t="shared" si="3"/>
        <v>#REF!</v>
      </c>
    </row>
    <row r="160" ht="13.5" customHeight="1">
      <c r="A160" s="1" t="str">
        <f>IF(Settings!A161="","",Settings!A161)</f>
        <v/>
      </c>
      <c r="B160" s="1" t="str">
        <f>IF($A160="","",SUMIF(Details!$C:$C,$A160,Details!$E:$E))</f>
        <v/>
      </c>
      <c r="C160" s="1" t="str">
        <f t="shared" si="1"/>
        <v/>
      </c>
      <c r="D160" s="4"/>
      <c r="E160" s="4"/>
      <c r="F160" s="4"/>
      <c r="G160" s="4"/>
      <c r="H160" s="13">
        <f>IF(Details!$B166="","",Details!$B166)</f>
        <v>46082</v>
      </c>
      <c r="I160" s="1" t="str">
        <f>IF(H160="","",Details!$F166)</f>
        <v/>
      </c>
      <c r="J160" s="1">
        <f>IF(H160="","",Details!$E166)</f>
        <v>72000</v>
      </c>
      <c r="K160" s="1" t="str">
        <f t="shared" si="3"/>
        <v>#REF!</v>
      </c>
    </row>
    <row r="161" ht="13.5" customHeight="1">
      <c r="A161" s="1" t="str">
        <f>IF(Settings!A162="","",Settings!A162)</f>
        <v/>
      </c>
      <c r="B161" s="1" t="str">
        <f>IF($A161="","",SUMIF(Details!$C:$C,$A161,Details!$E:$E))</f>
        <v/>
      </c>
      <c r="C161" s="1" t="str">
        <f t="shared" si="1"/>
        <v/>
      </c>
      <c r="D161" s="4"/>
      <c r="E161" s="4"/>
      <c r="F161" s="4"/>
      <c r="G161" s="4"/>
      <c r="H161" s="13">
        <f>IF(Details!$B167="","",Details!$B167)</f>
        <v>46082</v>
      </c>
      <c r="I161" s="1" t="str">
        <f>IF(H161="","",Details!$F167)</f>
        <v/>
      </c>
      <c r="J161" s="1">
        <f>IF(H161="","",Details!$E167)</f>
        <v>5000</v>
      </c>
      <c r="K161" s="1" t="str">
        <f t="shared" si="3"/>
        <v>#REF!</v>
      </c>
    </row>
    <row r="162" ht="13.5" customHeight="1">
      <c r="A162" s="1" t="str">
        <f>IF(Settings!A163="","",Settings!A163)</f>
        <v/>
      </c>
      <c r="B162" s="1" t="str">
        <f>IF($A162="","",SUMIF(Details!$C:$C,$A162,Details!$E:$E))</f>
        <v/>
      </c>
      <c r="C162" s="1" t="str">
        <f t="shared" si="1"/>
        <v/>
      </c>
      <c r="D162" s="4"/>
      <c r="E162" s="4"/>
      <c r="F162" s="4"/>
      <c r="G162" s="4"/>
      <c r="H162" s="13">
        <f>IF(Details!$B168="","",Details!$B168)</f>
        <v>46082</v>
      </c>
      <c r="I162" s="1" t="str">
        <f>IF(H162="","",Details!$F168)</f>
        <v/>
      </c>
      <c r="J162" s="1">
        <f>IF(H162="","",Details!$E168)</f>
        <v>10000</v>
      </c>
      <c r="K162" s="1" t="str">
        <f t="shared" si="3"/>
        <v>#REF!</v>
      </c>
    </row>
    <row r="163" ht="13.5" customHeight="1">
      <c r="A163" s="1" t="str">
        <f>IF(Settings!A164="","",Settings!A164)</f>
        <v/>
      </c>
      <c r="B163" s="1" t="str">
        <f>IF($A163="","",SUMIF(Details!$C:$C,$A163,Details!$E:$E))</f>
        <v/>
      </c>
      <c r="C163" s="1" t="str">
        <f t="shared" si="1"/>
        <v/>
      </c>
      <c r="D163" s="4"/>
      <c r="E163" s="4"/>
      <c r="F163" s="4"/>
      <c r="G163" s="4"/>
      <c r="H163" s="13">
        <f>IF(Details!$B169="","",Details!$B169)</f>
        <v>46082</v>
      </c>
      <c r="I163" s="1" t="str">
        <f>IF(H163="","",Details!$F169)</f>
        <v/>
      </c>
      <c r="J163" s="1">
        <f>IF(H163="","",Details!$E169)</f>
        <v>221000</v>
      </c>
      <c r="K163" s="1" t="str">
        <f t="shared" si="3"/>
        <v>#REF!</v>
      </c>
    </row>
    <row r="164" ht="13.5" customHeight="1">
      <c r="A164" s="1" t="str">
        <f>IF(Settings!A165="","",Settings!A165)</f>
        <v/>
      </c>
      <c r="B164" s="1" t="str">
        <f>IF($A164="","",SUMIF(Details!$C:$C,$A164,Details!$E:$E))</f>
        <v/>
      </c>
      <c r="C164" s="1" t="str">
        <f t="shared" si="1"/>
        <v/>
      </c>
      <c r="D164" s="4"/>
      <c r="E164" s="4"/>
      <c r="F164" s="4"/>
      <c r="G164" s="4"/>
      <c r="H164" s="13">
        <f>IF(Details!$B170="","",Details!$B170)</f>
        <v>46143</v>
      </c>
      <c r="I164" s="1" t="str">
        <f>IF(H164="","",Details!$F170)</f>
        <v/>
      </c>
      <c r="J164" s="1">
        <f>IF(H164="","",Details!$E170)</f>
        <v>72000</v>
      </c>
      <c r="K164" s="1" t="str">
        <f t="shared" si="3"/>
        <v>#REF!</v>
      </c>
    </row>
    <row r="165" ht="13.5" customHeight="1">
      <c r="A165" s="1" t="str">
        <f>IF(Settings!A166="","",Settings!A166)</f>
        <v/>
      </c>
      <c r="B165" s="1" t="str">
        <f>IF($A165="","",SUMIF(Details!$C:$C,$A165,Details!$E:$E))</f>
        <v/>
      </c>
      <c r="C165" s="1" t="str">
        <f t="shared" si="1"/>
        <v/>
      </c>
      <c r="D165" s="4"/>
      <c r="E165" s="4"/>
      <c r="F165" s="4"/>
      <c r="G165" s="4"/>
      <c r="H165" s="13">
        <f>IF(Details!$B171="","",Details!$B171)</f>
        <v>46143</v>
      </c>
      <c r="I165" s="1" t="str">
        <f>IF(H165="","",Details!$F171)</f>
        <v/>
      </c>
      <c r="J165" s="1">
        <f>IF(H165="","",Details!$E171)</f>
        <v>50000</v>
      </c>
      <c r="K165" s="1" t="str">
        <f t="shared" si="3"/>
        <v>#REF!</v>
      </c>
    </row>
    <row r="166" ht="13.5" customHeight="1">
      <c r="A166" s="1" t="str">
        <f>IF(Settings!A167="","",Settings!A167)</f>
        <v/>
      </c>
      <c r="B166" s="1" t="str">
        <f>IF($A166="","",SUMIF(Details!$C:$C,$A166,Details!$E:$E))</f>
        <v/>
      </c>
      <c r="C166" s="1" t="str">
        <f t="shared" si="1"/>
        <v/>
      </c>
      <c r="D166" s="4"/>
      <c r="E166" s="4"/>
      <c r="F166" s="4"/>
      <c r="G166" s="4"/>
      <c r="H166" s="13">
        <f>IF(Details!$B172="","",Details!$B172)</f>
        <v>46143</v>
      </c>
      <c r="I166" s="1" t="str">
        <f>IF(H166="","",Details!$F172)</f>
        <v/>
      </c>
      <c r="J166" s="1">
        <f>IF(H166="","",Details!$E172)</f>
        <v>10000</v>
      </c>
      <c r="K166" s="1" t="str">
        <f t="shared" si="3"/>
        <v>#REF!</v>
      </c>
    </row>
    <row r="167" ht="13.5" customHeight="1">
      <c r="A167" s="1" t="str">
        <f>IF(Settings!A168="","",Settings!A168)</f>
        <v/>
      </c>
      <c r="B167" s="1" t="str">
        <f>IF($A167="","",SUMIF(Details!$C:$C,$A167,Details!$E:$E))</f>
        <v/>
      </c>
      <c r="C167" s="1" t="str">
        <f t="shared" si="1"/>
        <v/>
      </c>
      <c r="D167" s="4"/>
      <c r="E167" s="4"/>
      <c r="F167" s="4"/>
      <c r="G167" s="4"/>
      <c r="H167" s="13">
        <f>IF(Details!$B173="","",Details!$B173)</f>
        <v>46143</v>
      </c>
      <c r="I167" s="1" t="str">
        <f>IF(H167="","",Details!$F173)</f>
        <v/>
      </c>
      <c r="J167" s="1">
        <f>IF(H167="","",Details!$E173)</f>
        <v>45000</v>
      </c>
      <c r="K167" s="1" t="str">
        <f t="shared" si="3"/>
        <v>#REF!</v>
      </c>
    </row>
    <row r="168" ht="13.5" customHeight="1">
      <c r="A168" s="1" t="str">
        <f>IF(Settings!A169="","",Settings!A169)</f>
        <v/>
      </c>
      <c r="B168" s="1" t="str">
        <f>IF($A168="","",SUMIF(Details!$C:$C,$A168,Details!$E:$E))</f>
        <v/>
      </c>
      <c r="C168" s="1" t="str">
        <f t="shared" si="1"/>
        <v/>
      </c>
      <c r="D168" s="4"/>
      <c r="E168" s="4"/>
      <c r="F168" s="4"/>
      <c r="G168" s="4"/>
      <c r="H168" s="13">
        <f>IF(Details!$B174="","",Details!$B174)</f>
        <v>46143</v>
      </c>
      <c r="I168" s="1" t="str">
        <f>IF(H168="","",Details!$F174)</f>
        <v/>
      </c>
      <c r="J168" s="1">
        <f>IF(H168="","",Details!$E174)</f>
        <v>10000</v>
      </c>
      <c r="K168" s="1" t="str">
        <f t="shared" si="3"/>
        <v>#REF!</v>
      </c>
    </row>
    <row r="169" ht="13.5" customHeight="1">
      <c r="A169" s="1" t="str">
        <f>IF(Settings!A170="","",Settings!A170)</f>
        <v/>
      </c>
      <c r="B169" s="1" t="str">
        <f>IF($A169="","",SUMIF(Details!$C:$C,$A169,Details!$E:$E))</f>
        <v/>
      </c>
      <c r="C169" s="1" t="str">
        <f t="shared" si="1"/>
        <v/>
      </c>
      <c r="D169" s="4"/>
      <c r="E169" s="4"/>
      <c r="F169" s="4"/>
      <c r="G169" s="4"/>
      <c r="H169" s="13">
        <f>IF(Details!$B175="","",Details!$B175)</f>
        <v>46143</v>
      </c>
      <c r="I169" s="1" t="str">
        <f>IF(H169="","",Details!$F175)</f>
        <v/>
      </c>
      <c r="J169" s="1">
        <f>IF(H169="","",Details!$E175)</f>
        <v>45000</v>
      </c>
      <c r="K169" s="1" t="str">
        <f t="shared" si="3"/>
        <v>#REF!</v>
      </c>
    </row>
    <row r="170" ht="13.5" customHeight="1">
      <c r="A170" s="1" t="str">
        <f>IF(Settings!A171="","",Settings!A171)</f>
        <v/>
      </c>
      <c r="B170" s="1" t="str">
        <f>IF($A170="","",SUMIF(Details!$C:$C,$A170,Details!$E:$E))</f>
        <v/>
      </c>
      <c r="C170" s="1" t="str">
        <f t="shared" si="1"/>
        <v/>
      </c>
      <c r="D170" s="4"/>
      <c r="E170" s="4"/>
      <c r="F170" s="4"/>
      <c r="G170" s="4"/>
      <c r="H170" s="13">
        <f>IF(Details!$B176="","",Details!$B176)</f>
        <v>46143</v>
      </c>
      <c r="I170" s="1" t="str">
        <f>IF(H170="","",Details!$F176)</f>
        <v/>
      </c>
      <c r="J170" s="1">
        <f>IF(H170="","",Details!$E176)</f>
        <v>60000</v>
      </c>
      <c r="K170" s="1" t="str">
        <f t="shared" si="3"/>
        <v>#REF!</v>
      </c>
    </row>
    <row r="171" ht="13.5" customHeight="1">
      <c r="A171" s="1" t="str">
        <f>IF(Settings!A172="","",Settings!A172)</f>
        <v/>
      </c>
      <c r="B171" s="1" t="str">
        <f>IF($A171="","",SUMIF(Details!$C:$C,$A171,Details!$E:$E))</f>
        <v/>
      </c>
      <c r="C171" s="1" t="str">
        <f t="shared" si="1"/>
        <v/>
      </c>
      <c r="D171" s="4"/>
      <c r="E171" s="4"/>
      <c r="F171" s="4"/>
      <c r="G171" s="4"/>
      <c r="H171" s="13">
        <f>IF(Details!$B177="","",Details!$B177)</f>
        <v>46174</v>
      </c>
      <c r="I171" s="1" t="str">
        <f>IF(H171="","",Details!$F177)</f>
        <v/>
      </c>
      <c r="J171" s="1">
        <f>IF(H171="","",Details!$E177)</f>
        <v>39000</v>
      </c>
      <c r="K171" s="1" t="str">
        <f t="shared" si="3"/>
        <v>#REF!</v>
      </c>
    </row>
    <row r="172" ht="13.5" customHeight="1">
      <c r="A172" s="1" t="str">
        <f>IF(Settings!A173="","",Settings!A173)</f>
        <v/>
      </c>
      <c r="B172" s="1" t="str">
        <f>IF($A172="","",SUMIF(Details!$C:$C,$A172,Details!$E:$E))</f>
        <v/>
      </c>
      <c r="C172" s="1" t="str">
        <f t="shared" si="1"/>
        <v/>
      </c>
      <c r="D172" s="4"/>
      <c r="E172" s="4"/>
      <c r="F172" s="4"/>
      <c r="G172" s="4"/>
      <c r="H172" s="13">
        <f>IF(Details!$B178="","",Details!$B178)</f>
        <v>46174</v>
      </c>
      <c r="I172" s="1" t="str">
        <f>IF(H172="","",Details!$F178)</f>
        <v/>
      </c>
      <c r="J172" s="1">
        <f>IF(H172="","",Details!$E178)</f>
        <v>84000</v>
      </c>
      <c r="K172" s="1" t="str">
        <f t="shared" si="3"/>
        <v>#REF!</v>
      </c>
    </row>
    <row r="173" ht="13.5" customHeight="1">
      <c r="A173" s="1" t="str">
        <f>IF(Settings!A174="","",Settings!A174)</f>
        <v/>
      </c>
      <c r="B173" s="1" t="str">
        <f>IF($A173="","",SUMIF(Details!$C:$C,$A173,Details!$E:$E))</f>
        <v/>
      </c>
      <c r="C173" s="1" t="str">
        <f t="shared" si="1"/>
        <v/>
      </c>
      <c r="D173" s="4"/>
      <c r="E173" s="4"/>
      <c r="F173" s="4"/>
      <c r="G173" s="4"/>
      <c r="H173" s="13">
        <f>IF(Details!$B179="","",Details!$B179)</f>
        <v>46174</v>
      </c>
      <c r="I173" s="1" t="str">
        <f>IF(H173="","",Details!$F179)</f>
        <v/>
      </c>
      <c r="J173" s="1">
        <f>IF(H173="","",Details!$E179)</f>
        <v>6600</v>
      </c>
      <c r="K173" s="1" t="str">
        <f t="shared" si="3"/>
        <v>#REF!</v>
      </c>
    </row>
    <row r="174" ht="13.5" customHeight="1">
      <c r="A174" s="1" t="str">
        <f>IF(Settings!A175="","",Settings!A175)</f>
        <v/>
      </c>
      <c r="B174" s="1" t="str">
        <f>IF($A174="","",SUMIF(Details!$C:$C,$A174,Details!$E:$E))</f>
        <v/>
      </c>
      <c r="C174" s="1" t="str">
        <f t="shared" si="1"/>
        <v/>
      </c>
      <c r="D174" s="4"/>
      <c r="E174" s="4"/>
      <c r="F174" s="4"/>
      <c r="G174" s="4"/>
      <c r="H174" s="13">
        <f>IF(Details!$B180="","",Details!$B180)</f>
        <v>46174</v>
      </c>
      <c r="I174" s="1" t="str">
        <f>IF(H174="","",Details!$F180)</f>
        <v/>
      </c>
      <c r="J174" s="1">
        <f>IF(H174="","",Details!$E180)</f>
        <v>1500</v>
      </c>
      <c r="K174" s="1" t="str">
        <f t="shared" si="3"/>
        <v>#REF!</v>
      </c>
    </row>
    <row r="175" ht="13.5" customHeight="1">
      <c r="A175" s="1" t="str">
        <f>IF(Settings!A176="","",Settings!A176)</f>
        <v/>
      </c>
      <c r="B175" s="1" t="str">
        <f>IF($A175="","",SUMIF(Details!$C:$C,$A175,Details!$E:$E))</f>
        <v/>
      </c>
      <c r="C175" s="1" t="str">
        <f t="shared" si="1"/>
        <v/>
      </c>
      <c r="D175" s="4"/>
      <c r="E175" s="4"/>
      <c r="F175" s="4"/>
      <c r="G175" s="4"/>
      <c r="H175" s="13">
        <f>IF(Details!$B181="","",Details!$B181)</f>
        <v>46174</v>
      </c>
      <c r="I175" s="1" t="str">
        <f>IF(H175="","",Details!$F181)</f>
        <v/>
      </c>
      <c r="J175" s="1">
        <f>IF(H175="","",Details!$E181)</f>
        <v>4000</v>
      </c>
      <c r="K175" s="1" t="str">
        <f t="shared" si="3"/>
        <v>#REF!</v>
      </c>
    </row>
    <row r="176" ht="13.5" customHeight="1">
      <c r="A176" s="1" t="str">
        <f>IF(Settings!A177="","",Settings!A177)</f>
        <v/>
      </c>
      <c r="B176" s="1" t="str">
        <f>IF($A176="","",SUMIF(Details!$C:$C,$A176,Details!$E:$E))</f>
        <v/>
      </c>
      <c r="C176" s="1" t="str">
        <f t="shared" si="1"/>
        <v/>
      </c>
      <c r="D176" s="4"/>
      <c r="E176" s="4"/>
      <c r="F176" s="4"/>
      <c r="G176" s="4"/>
      <c r="H176" s="13">
        <f>IF(Details!$B182="","",Details!$B182)</f>
        <v>46174</v>
      </c>
      <c r="I176" s="1" t="str">
        <f>IF(H176="","",Details!$F182)</f>
        <v/>
      </c>
      <c r="J176" s="1">
        <f>IF(H176="","",Details!$E182)</f>
        <v>10000</v>
      </c>
      <c r="K176" s="1" t="str">
        <f t="shared" si="3"/>
        <v>#REF!</v>
      </c>
    </row>
    <row r="177" ht="13.5" customHeight="1">
      <c r="A177" s="1" t="str">
        <f>IF(Settings!A178="","",Settings!A178)</f>
        <v/>
      </c>
      <c r="B177" s="1" t="str">
        <f>IF($A177="","",SUMIF(Details!$C:$C,$A177,Details!$E:$E))</f>
        <v/>
      </c>
      <c r="C177" s="1" t="str">
        <f t="shared" si="1"/>
        <v/>
      </c>
      <c r="D177" s="4"/>
      <c r="E177" s="4"/>
      <c r="F177" s="4"/>
      <c r="G177" s="4"/>
      <c r="H177" s="13">
        <f>IF(Details!$B183="","",Details!$B183)</f>
        <v>46174</v>
      </c>
      <c r="I177" s="1" t="str">
        <f>IF(H177="","",Details!$F183)</f>
        <v/>
      </c>
      <c r="J177" s="1">
        <f>IF(H177="","",Details!$E183)</f>
        <v>5000</v>
      </c>
      <c r="K177" s="1" t="str">
        <f t="shared" si="3"/>
        <v>#REF!</v>
      </c>
    </row>
    <row r="178" ht="13.5" customHeight="1">
      <c r="A178" s="1" t="str">
        <f>IF(Settings!A179="","",Settings!A179)</f>
        <v/>
      </c>
      <c r="B178" s="1" t="str">
        <f>IF($A178="","",SUMIF(Details!$C:$C,$A178,Details!$E:$E))</f>
        <v/>
      </c>
      <c r="C178" s="1" t="str">
        <f t="shared" si="1"/>
        <v/>
      </c>
      <c r="D178" s="4"/>
      <c r="E178" s="4"/>
      <c r="F178" s="4"/>
      <c r="G178" s="4"/>
      <c r="H178" s="13">
        <f>IF(Details!$B184="","",Details!$B184)</f>
        <v>46174</v>
      </c>
      <c r="I178" s="1" t="str">
        <f>IF(H178="","",Details!$F184)</f>
        <v/>
      </c>
      <c r="J178" s="1">
        <f>IF(H178="","",Details!$E184)</f>
        <v>8000</v>
      </c>
      <c r="K178" s="1" t="str">
        <f t="shared" si="3"/>
        <v>#REF!</v>
      </c>
    </row>
    <row r="179" ht="13.5" customHeight="1">
      <c r="A179" s="1" t="str">
        <f>IF(Settings!A180="","",Settings!A180)</f>
        <v/>
      </c>
      <c r="B179" s="1" t="str">
        <f>IF($A179="","",SUMIF(Details!$C:$C,$A179,Details!$E:$E))</f>
        <v/>
      </c>
      <c r="C179" s="1" t="str">
        <f t="shared" si="1"/>
        <v/>
      </c>
      <c r="D179" s="4"/>
      <c r="E179" s="4"/>
      <c r="F179" s="4"/>
      <c r="G179" s="4"/>
      <c r="H179" s="13">
        <f>IF(Details!$B185="","",Details!$B185)</f>
        <v>46174</v>
      </c>
      <c r="I179" s="1" t="str">
        <f>IF(H179="","",Details!$F185)</f>
        <v/>
      </c>
      <c r="J179" s="1">
        <f>IF(H179="","",Details!$E185)</f>
        <v>7000</v>
      </c>
      <c r="K179" s="1" t="str">
        <f t="shared" si="3"/>
        <v>#REF!</v>
      </c>
    </row>
    <row r="180" ht="13.5" customHeight="1">
      <c r="A180" s="1" t="str">
        <f>IF(Settings!A181="","",Settings!A181)</f>
        <v/>
      </c>
      <c r="B180" s="1" t="str">
        <f>IF($A180="","",SUMIF(Details!$C:$C,$A180,Details!$E:$E))</f>
        <v/>
      </c>
      <c r="C180" s="1" t="str">
        <f t="shared" si="1"/>
        <v/>
      </c>
      <c r="D180" s="4"/>
      <c r="E180" s="4"/>
      <c r="F180" s="4"/>
      <c r="G180" s="4"/>
      <c r="H180" s="13">
        <f>IF(Details!$B186="","",Details!$B186)</f>
        <v>46204</v>
      </c>
      <c r="I180" s="1" t="str">
        <f>IF(H180="","",Details!$F186)</f>
        <v/>
      </c>
      <c r="J180" s="1">
        <f>IF(H180="","",Details!$E186)</f>
        <v>51000</v>
      </c>
      <c r="K180" s="1" t="str">
        <f t="shared" si="3"/>
        <v>#REF!</v>
      </c>
    </row>
    <row r="181" ht="13.5" customHeight="1">
      <c r="A181" s="1" t="str">
        <f>IF(Settings!A182="","",Settings!A182)</f>
        <v/>
      </c>
      <c r="B181" s="1" t="str">
        <f>IF($A181="","",SUMIF(Details!$C:$C,$A181,Details!$E:$E))</f>
        <v/>
      </c>
      <c r="C181" s="1" t="str">
        <f t="shared" si="1"/>
        <v/>
      </c>
      <c r="D181" s="4"/>
      <c r="E181" s="4"/>
      <c r="F181" s="4"/>
      <c r="G181" s="4"/>
      <c r="H181" s="13">
        <f>IF(Details!$B187="","",Details!$B187)</f>
        <v>46204</v>
      </c>
      <c r="I181" s="1" t="str">
        <f>IF(H181="","",Details!$F187)</f>
        <v/>
      </c>
      <c r="J181" s="1">
        <f>IF(H181="","",Details!$E187)</f>
        <v>5000</v>
      </c>
      <c r="K181" s="1" t="str">
        <f t="shared" si="3"/>
        <v>#REF!</v>
      </c>
    </row>
    <row r="182" ht="13.5" customHeight="1">
      <c r="A182" s="1" t="str">
        <f>IF(Settings!A183="","",Settings!A183)</f>
        <v/>
      </c>
      <c r="B182" s="1" t="str">
        <f>IF($A182="","",SUMIF(Details!$C:$C,$A182,Details!$E:$E))</f>
        <v/>
      </c>
      <c r="C182" s="1" t="str">
        <f t="shared" si="1"/>
        <v/>
      </c>
      <c r="D182" s="4"/>
      <c r="E182" s="4"/>
      <c r="F182" s="4"/>
      <c r="G182" s="4"/>
      <c r="H182" s="13">
        <f>IF(Details!$B188="","",Details!$B188)</f>
        <v>46204</v>
      </c>
      <c r="I182" s="1" t="str">
        <f>IF(H182="","",Details!$F188)</f>
        <v/>
      </c>
      <c r="J182" s="1">
        <f>IF(H182="","",Details!$E188)</f>
        <v>100000</v>
      </c>
      <c r="K182" s="1" t="str">
        <f t="shared" si="3"/>
        <v>#REF!</v>
      </c>
    </row>
    <row r="183" ht="13.5" customHeight="1">
      <c r="A183" s="1" t="str">
        <f>IF(Settings!A184="","",Settings!A184)</f>
        <v/>
      </c>
      <c r="B183" s="1" t="str">
        <f>IF($A183="","",SUMIF(Details!$C:$C,$A183,Details!$E:$E))</f>
        <v/>
      </c>
      <c r="C183" s="1" t="str">
        <f t="shared" si="1"/>
        <v/>
      </c>
      <c r="D183" s="4"/>
      <c r="E183" s="4"/>
      <c r="F183" s="4"/>
      <c r="G183" s="4"/>
      <c r="H183" s="13">
        <f>IF(Details!$B189="","",Details!$B189)</f>
        <v>46204</v>
      </c>
      <c r="I183" s="1" t="str">
        <f>IF(H183="","",Details!$F189)</f>
        <v/>
      </c>
      <c r="J183" s="1">
        <f>IF(H183="","",Details!$E189)</f>
        <v>8000</v>
      </c>
      <c r="K183" s="1" t="str">
        <f t="shared" si="3"/>
        <v>#REF!</v>
      </c>
    </row>
    <row r="184" ht="13.5" customHeight="1">
      <c r="A184" s="1" t="str">
        <f>IF(Settings!A185="","",Settings!A185)</f>
        <v/>
      </c>
      <c r="B184" s="1" t="str">
        <f>IF($A184="","",SUMIF(Details!$C:$C,$A184,Details!$E:$E))</f>
        <v/>
      </c>
      <c r="C184" s="1" t="str">
        <f t="shared" si="1"/>
        <v/>
      </c>
      <c r="D184" s="4"/>
      <c r="E184" s="4"/>
      <c r="F184" s="4"/>
      <c r="G184" s="4"/>
      <c r="H184" s="13">
        <f>IF(Details!$B190="","",Details!$B190)</f>
        <v>46204</v>
      </c>
      <c r="I184" s="1" t="str">
        <f>IF(H184="","",Details!$F190)</f>
        <v/>
      </c>
      <c r="J184" s="1">
        <f>IF(H184="","",Details!$E190)</f>
        <v>10000</v>
      </c>
      <c r="K184" s="1" t="str">
        <f t="shared" si="3"/>
        <v>#REF!</v>
      </c>
    </row>
    <row r="185" ht="13.5" customHeight="1">
      <c r="A185" s="1" t="str">
        <f>IF(Settings!A186="","",Settings!A186)</f>
        <v/>
      </c>
      <c r="B185" s="1" t="str">
        <f>IF($A185="","",SUMIF(Details!$C:$C,$A185,Details!$E:$E))</f>
        <v/>
      </c>
      <c r="C185" s="1" t="str">
        <f t="shared" si="1"/>
        <v/>
      </c>
      <c r="D185" s="4"/>
      <c r="E185" s="4"/>
      <c r="F185" s="4"/>
      <c r="G185" s="4"/>
      <c r="H185" s="13">
        <f>IF(Details!$B191="","",Details!$B191)</f>
        <v>46204</v>
      </c>
      <c r="I185" s="1" t="str">
        <f>IF(H185="","",Details!$F191)</f>
        <v/>
      </c>
      <c r="J185" s="1">
        <f>IF(H185="","",Details!$E191)</f>
        <v>15000</v>
      </c>
      <c r="K185" s="1" t="str">
        <f t="shared" si="3"/>
        <v>#REF!</v>
      </c>
    </row>
    <row r="186" ht="13.5" customHeight="1">
      <c r="A186" s="1" t="str">
        <f>IF(Settings!A187="","",Settings!A187)</f>
        <v/>
      </c>
      <c r="B186" s="1" t="str">
        <f>IF($A186="","",SUMIF(Details!$C:$C,$A186,Details!$E:$E))</f>
        <v/>
      </c>
      <c r="C186" s="1" t="str">
        <f t="shared" si="1"/>
        <v/>
      </c>
      <c r="D186" s="4"/>
      <c r="E186" s="4"/>
      <c r="F186" s="4"/>
      <c r="G186" s="4"/>
      <c r="H186" s="13">
        <f>IF(Details!$B193="","",Details!$B193)</f>
        <v>46235</v>
      </c>
      <c r="I186" s="1" t="str">
        <f>IF(H186="","",Details!$F193)</f>
        <v/>
      </c>
      <c r="J186" s="1">
        <f>IF(H186="","",Details!$E193)</f>
        <v>51000</v>
      </c>
      <c r="K186" s="1" t="str">
        <f t="shared" si="3"/>
        <v>#REF!</v>
      </c>
    </row>
    <row r="187" ht="13.5" customHeight="1">
      <c r="A187" s="1" t="str">
        <f>IF(Settings!A188="","",Settings!A188)</f>
        <v/>
      </c>
      <c r="B187" s="1" t="str">
        <f>IF($A187="","",SUMIF(Details!$C:$C,$A187,Details!$E:$E))</f>
        <v/>
      </c>
      <c r="C187" s="1" t="str">
        <f t="shared" si="1"/>
        <v/>
      </c>
      <c r="D187" s="4"/>
      <c r="E187" s="4"/>
      <c r="F187" s="4"/>
      <c r="G187" s="4"/>
      <c r="H187" s="13">
        <f>IF(Details!$B194="","",Details!$B194)</f>
        <v>46235</v>
      </c>
      <c r="I187" s="1" t="str">
        <f>IF(H187="","",Details!$F194)</f>
        <v/>
      </c>
      <c r="J187" s="1">
        <f>IF(H187="","",Details!$E194)</f>
        <v>10000</v>
      </c>
      <c r="K187" s="1" t="str">
        <f t="shared" si="3"/>
        <v>#REF!</v>
      </c>
    </row>
    <row r="188" ht="13.5" customHeight="1">
      <c r="A188" s="1" t="str">
        <f>IF(Settings!A189="","",Settings!A189)</f>
        <v/>
      </c>
      <c r="B188" s="1" t="str">
        <f>IF($A188="","",SUMIF(Details!$C:$C,$A188,Details!$E:$E))</f>
        <v/>
      </c>
      <c r="C188" s="1" t="str">
        <f t="shared" si="1"/>
        <v/>
      </c>
      <c r="D188" s="4"/>
      <c r="E188" s="4"/>
      <c r="F188" s="4"/>
      <c r="G188" s="4"/>
      <c r="H188" s="13">
        <f>IF(Details!$B195="","",Details!$B195)</f>
        <v>46266</v>
      </c>
      <c r="I188" s="1" t="str">
        <f>IF(H188="","",Details!$F195)</f>
        <v/>
      </c>
      <c r="J188" s="1">
        <f>IF(H188="","",Details!$E195)</f>
        <v>51000</v>
      </c>
      <c r="K188" s="1" t="str">
        <f t="shared" si="3"/>
        <v>#REF!</v>
      </c>
    </row>
    <row r="189" ht="13.5" customHeight="1">
      <c r="A189" s="1" t="str">
        <f>IF(Settings!A190="","",Settings!A190)</f>
        <v/>
      </c>
      <c r="B189" s="1" t="str">
        <f>IF($A189="","",SUMIF(Details!$C:$C,$A189,Details!$E:$E))</f>
        <v/>
      </c>
      <c r="C189" s="1" t="str">
        <f t="shared" si="1"/>
        <v/>
      </c>
      <c r="D189" s="4"/>
      <c r="E189" s="4"/>
      <c r="F189" s="4"/>
      <c r="G189" s="4"/>
      <c r="H189" s="13">
        <f>IF(Details!$B196="","",Details!$B196)</f>
        <v>46266</v>
      </c>
      <c r="I189" s="1" t="str">
        <f>IF(H189="","",Details!$F196)</f>
        <v/>
      </c>
      <c r="J189" s="1">
        <f>IF(H189="","",Details!$E196)</f>
        <v>22000</v>
      </c>
      <c r="K189" s="1" t="str">
        <f t="shared" si="3"/>
        <v>#REF!</v>
      </c>
    </row>
    <row r="190" ht="13.5" customHeight="1">
      <c r="A190" s="1" t="str">
        <f>IF(Settings!A191="","",Settings!A191)</f>
        <v/>
      </c>
      <c r="B190" s="1" t="str">
        <f>IF($A190="","",SUMIF(Details!$C:$C,$A190,Details!$E:$E))</f>
        <v/>
      </c>
      <c r="C190" s="1" t="str">
        <f t="shared" si="1"/>
        <v/>
      </c>
      <c r="D190" s="4"/>
      <c r="E190" s="4"/>
      <c r="F190" s="4"/>
      <c r="G190" s="4"/>
      <c r="H190" s="13">
        <f>IF(Details!$B197="","",Details!$B197)</f>
        <v>46266</v>
      </c>
      <c r="I190" s="1" t="str">
        <f>IF(H190="","",Details!$F197)</f>
        <v/>
      </c>
      <c r="J190" s="1">
        <f>IF(H190="","",Details!$E197)</f>
        <v>3000</v>
      </c>
      <c r="K190" s="1" t="str">
        <f t="shared" si="3"/>
        <v>#REF!</v>
      </c>
    </row>
    <row r="191" ht="13.5" customHeight="1">
      <c r="A191" s="1" t="str">
        <f>IF(Settings!A192="","",Settings!A192)</f>
        <v/>
      </c>
      <c r="B191" s="1" t="str">
        <f>IF($A191="","",SUMIF(Details!$C:$C,$A191,Details!$E:$E))</f>
        <v/>
      </c>
      <c r="C191" s="1" t="str">
        <f t="shared" si="1"/>
        <v/>
      </c>
      <c r="D191" s="4"/>
      <c r="E191" s="4"/>
      <c r="F191" s="4"/>
      <c r="G191" s="4"/>
      <c r="H191" s="13">
        <f>IF(Details!$B198="","",Details!$B198)</f>
        <v>46266</v>
      </c>
      <c r="I191" s="1" t="str">
        <f>IF(H191="","",Details!$F198)</f>
        <v/>
      </c>
      <c r="J191" s="1">
        <f>IF(H191="","",Details!$E198)</f>
        <v>4000</v>
      </c>
      <c r="K191" s="1" t="str">
        <f t="shared" si="3"/>
        <v>#REF!</v>
      </c>
    </row>
    <row r="192" ht="13.5" customHeight="1">
      <c r="A192" s="1" t="str">
        <f>IF(Settings!A193="","",Settings!A193)</f>
        <v/>
      </c>
      <c r="B192" s="1" t="str">
        <f>IF($A192="","",SUMIF(Details!$C:$C,$A192,Details!$E:$E))</f>
        <v/>
      </c>
      <c r="C192" s="1" t="str">
        <f t="shared" si="1"/>
        <v/>
      </c>
      <c r="D192" s="4"/>
      <c r="E192" s="4"/>
      <c r="F192" s="4"/>
      <c r="G192" s="4"/>
      <c r="H192" s="13">
        <f>IF(Details!$B199="","",Details!$B199)</f>
        <v>46266</v>
      </c>
      <c r="I192" s="1" t="str">
        <f>IF(H192="","",Details!$F199)</f>
        <v/>
      </c>
      <c r="J192" s="1">
        <f>IF(H192="","",Details!$E199)</f>
        <v>500</v>
      </c>
      <c r="K192" s="1" t="str">
        <f t="shared" si="3"/>
        <v>#REF!</v>
      </c>
    </row>
    <row r="193" ht="13.5" customHeight="1">
      <c r="A193" s="1" t="str">
        <f>IF(Settings!A194="","",Settings!A194)</f>
        <v/>
      </c>
      <c r="B193" s="1" t="str">
        <f>IF($A193="","",SUMIF(Details!$C:$C,$A193,Details!$E:$E))</f>
        <v/>
      </c>
      <c r="C193" s="1" t="str">
        <f t="shared" si="1"/>
        <v/>
      </c>
      <c r="D193" s="4"/>
      <c r="E193" s="4"/>
      <c r="F193" s="4"/>
      <c r="G193" s="4"/>
      <c r="H193" s="13">
        <f>IF(Details!$B200="","",Details!$B200)</f>
        <v>46266</v>
      </c>
      <c r="I193" s="1" t="str">
        <f>IF(H193="","",Details!$F200)</f>
        <v/>
      </c>
      <c r="J193" s="1">
        <f>IF(H193="","",Details!$E200)</f>
        <v>10000</v>
      </c>
      <c r="K193" s="1" t="str">
        <f t="shared" si="3"/>
        <v>#REF!</v>
      </c>
    </row>
    <row r="194" ht="13.5" customHeight="1">
      <c r="A194" s="1" t="str">
        <f>IF(Settings!A195="","",Settings!A195)</f>
        <v/>
      </c>
      <c r="B194" s="1" t="str">
        <f>IF($A194="","",SUMIF(Details!$C:$C,$A194,Details!$E:$E))</f>
        <v/>
      </c>
      <c r="C194" s="1" t="str">
        <f t="shared" si="1"/>
        <v/>
      </c>
      <c r="D194" s="4"/>
      <c r="E194" s="4"/>
      <c r="F194" s="4"/>
      <c r="G194" s="4"/>
      <c r="H194" s="13">
        <f>IF(Details!$B201="","",Details!$B201)</f>
        <v>46296</v>
      </c>
      <c r="I194" s="1">
        <f>IF(H194="","",Details!$F201)</f>
        <v>200000</v>
      </c>
      <c r="J194" s="1" t="str">
        <f>IF(H194="","",Details!$E201)</f>
        <v/>
      </c>
      <c r="K194" s="1" t="str">
        <f t="shared" si="3"/>
        <v>#REF!</v>
      </c>
    </row>
    <row r="195" ht="13.5" customHeight="1">
      <c r="A195" s="1" t="str">
        <f>IF(Settings!A196="","",Settings!A196)</f>
        <v/>
      </c>
      <c r="B195" s="1" t="str">
        <f>IF($A195="","",SUMIF(Details!$C:$C,$A195,Details!$E:$E))</f>
        <v/>
      </c>
      <c r="C195" s="1" t="str">
        <f t="shared" si="1"/>
        <v/>
      </c>
      <c r="D195" s="4"/>
      <c r="E195" s="4"/>
      <c r="F195" s="4"/>
      <c r="G195" s="4"/>
      <c r="H195" s="13">
        <f>IF(Details!$B202="","",Details!$B202)</f>
        <v>46296</v>
      </c>
      <c r="I195" s="1" t="str">
        <f>IF(H195="","",Details!$F202)</f>
        <v/>
      </c>
      <c r="J195" s="1">
        <f>IF(H195="","",Details!$E202)</f>
        <v>22000</v>
      </c>
      <c r="K195" s="1" t="str">
        <f t="shared" si="3"/>
        <v>#REF!</v>
      </c>
    </row>
    <row r="196" ht="13.5" customHeight="1">
      <c r="A196" s="1" t="str">
        <f>IF(Settings!A197="","",Settings!A197)</f>
        <v/>
      </c>
      <c r="B196" s="1" t="str">
        <f>IF($A196="","",SUMIF(Details!$C:$C,$A196,Details!$E:$E))</f>
        <v/>
      </c>
      <c r="C196" s="1" t="str">
        <f t="shared" si="1"/>
        <v/>
      </c>
      <c r="D196" s="4"/>
      <c r="E196" s="4"/>
      <c r="F196" s="4"/>
      <c r="G196" s="4"/>
      <c r="H196" s="13">
        <f>IF(Details!$B203="","",Details!$B203)</f>
        <v>46296</v>
      </c>
      <c r="I196" s="1" t="str">
        <f>IF(H196="","",Details!$F203)</f>
        <v/>
      </c>
      <c r="J196" s="1">
        <f>IF(H196="","",Details!$E203)</f>
        <v>36000</v>
      </c>
      <c r="K196" s="1" t="str">
        <f t="shared" si="3"/>
        <v>#REF!</v>
      </c>
    </row>
    <row r="197" ht="13.5" customHeight="1">
      <c r="A197" s="1" t="str">
        <f>IF(Settings!A198="","",Settings!A198)</f>
        <v/>
      </c>
      <c r="B197" s="1" t="str">
        <f>IF($A197="","",SUMIF(Details!$C:$C,$A197,Details!$E:$E))</f>
        <v/>
      </c>
      <c r="C197" s="1" t="str">
        <f t="shared" si="1"/>
        <v/>
      </c>
      <c r="D197" s="4"/>
      <c r="E197" s="4"/>
      <c r="F197" s="4"/>
      <c r="G197" s="4"/>
      <c r="H197" s="13">
        <f>IF(Details!$B204="","",Details!$B204)</f>
        <v>46296</v>
      </c>
      <c r="I197" s="1" t="str">
        <f>IF(H197="","",Details!$F204)</f>
        <v/>
      </c>
      <c r="J197" s="1">
        <f>IF(H197="","",Details!$E204)</f>
        <v>8000</v>
      </c>
      <c r="K197" s="1" t="str">
        <f t="shared" si="3"/>
        <v>#REF!</v>
      </c>
    </row>
    <row r="198" ht="13.5" customHeight="1">
      <c r="A198" s="1" t="str">
        <f>IF(Settings!A199="","",Settings!A199)</f>
        <v/>
      </c>
      <c r="B198" s="1" t="str">
        <f>IF($A198="","",SUMIF(Details!$C:$C,$A198,Details!$E:$E))</f>
        <v/>
      </c>
      <c r="C198" s="1" t="str">
        <f t="shared" si="1"/>
        <v/>
      </c>
      <c r="D198" s="4"/>
      <c r="E198" s="4"/>
      <c r="F198" s="4"/>
      <c r="G198" s="4"/>
      <c r="H198" s="13">
        <f>IF(Details!$B205="","",Details!$B205)</f>
        <v>46296</v>
      </c>
      <c r="I198" s="1" t="str">
        <f>IF(H198="","",Details!$F205)</f>
        <v/>
      </c>
      <c r="J198" s="1">
        <f>IF(H198="","",Details!$E205)</f>
        <v>10000</v>
      </c>
      <c r="K198" s="1" t="str">
        <f t="shared" si="3"/>
        <v>#REF!</v>
      </c>
    </row>
    <row r="199" ht="13.5" customHeight="1">
      <c r="A199" s="4"/>
      <c r="B199" s="4"/>
      <c r="C199" s="4"/>
      <c r="D199" s="4"/>
      <c r="E199" s="4"/>
      <c r="F199" s="4"/>
      <c r="G199" s="4"/>
      <c r="H199" s="13">
        <f>IF(Details!$B206="","",Details!$B206)</f>
        <v>46357</v>
      </c>
      <c r="I199" s="1" t="str">
        <f>IF(H199="","",Details!$F206)</f>
        <v/>
      </c>
      <c r="J199" s="1">
        <f>IF(H199="","",Details!$E206)</f>
        <v>51000</v>
      </c>
      <c r="K199" s="1" t="str">
        <f t="shared" si="3"/>
        <v>#REF!</v>
      </c>
    </row>
    <row r="200" ht="13.5" customHeight="1">
      <c r="A200" s="4"/>
      <c r="B200" s="4"/>
      <c r="C200" s="4"/>
      <c r="D200" s="4"/>
      <c r="E200" s="4"/>
      <c r="F200" s="4"/>
      <c r="G200" s="4"/>
      <c r="H200" s="13">
        <f>IF(Details!$B207="","",Details!$B207)</f>
        <v>46357</v>
      </c>
      <c r="I200" s="1" t="str">
        <f>IF(H200="","",Details!$F207)</f>
        <v/>
      </c>
      <c r="J200" s="1">
        <f>IF(H200="","",Details!$E207)</f>
        <v>10000</v>
      </c>
      <c r="K200" s="1" t="str">
        <f t="shared" si="3"/>
        <v>#REF!</v>
      </c>
    </row>
    <row r="201" ht="13.5" customHeight="1">
      <c r="A201" s="4"/>
      <c r="B201" s="4"/>
      <c r="C201" s="4"/>
      <c r="D201" s="4"/>
      <c r="E201" s="4"/>
      <c r="F201" s="4"/>
      <c r="G201" s="4"/>
      <c r="H201" s="1" t="str">
        <f>IF(Details!$B208="","",Details!$B208)</f>
        <v>13/01/2026</v>
      </c>
      <c r="I201" s="1" t="str">
        <f>IF(H201="","",Details!$F208)</f>
        <v/>
      </c>
      <c r="J201" s="1">
        <f>IF(H201="","",Details!$E208)</f>
        <v>13000</v>
      </c>
      <c r="K201" s="1" t="str">
        <f t="shared" si="3"/>
        <v>#REF!</v>
      </c>
    </row>
    <row r="202" ht="13.5" customHeight="1">
      <c r="A202" s="4"/>
      <c r="B202" s="4"/>
      <c r="C202" s="4"/>
      <c r="D202" s="4"/>
      <c r="E202" s="4"/>
      <c r="F202" s="4"/>
      <c r="G202" s="4"/>
      <c r="H202" s="1" t="str">
        <f>IF(Details!$B209="","",Details!$B209)</f>
        <v>13/01/2026</v>
      </c>
      <c r="I202" s="1" t="str">
        <f>IF(H202="","",Details!$F209)</f>
        <v/>
      </c>
      <c r="J202" s="1">
        <f>IF(H202="","",Details!$E209)</f>
        <v>2000</v>
      </c>
      <c r="K202" s="1" t="str">
        <f t="shared" si="3"/>
        <v>#REF!</v>
      </c>
    </row>
    <row r="203" ht="13.5" customHeight="1">
      <c r="A203" s="4"/>
      <c r="B203" s="4"/>
      <c r="C203" s="4"/>
      <c r="D203" s="4"/>
      <c r="E203" s="4"/>
      <c r="F203" s="4"/>
      <c r="G203" s="4"/>
      <c r="H203" s="1" t="str">
        <f>IF(Details!$B210="","",Details!$B210)</f>
        <v>13/01/2026</v>
      </c>
      <c r="I203" s="1" t="str">
        <f>IF(H203="","",Details!$F210)</f>
        <v/>
      </c>
      <c r="J203" s="1">
        <f>IF(H203="","",Details!$E210)</f>
        <v>4000</v>
      </c>
      <c r="K203" s="1" t="str">
        <f t="shared" si="3"/>
        <v>#REF!</v>
      </c>
    </row>
    <row r="204" ht="13.5" customHeight="1">
      <c r="A204" s="4"/>
      <c r="B204" s="4"/>
      <c r="C204" s="4"/>
      <c r="D204" s="4"/>
      <c r="E204" s="4"/>
      <c r="F204" s="4"/>
      <c r="G204" s="4"/>
      <c r="H204" s="1" t="str">
        <f>IF(Details!$B211="","",Details!$B211)</f>
        <v>13/01/2026</v>
      </c>
      <c r="I204" s="1">
        <f>IF(H204="","",Details!$F211)</f>
        <v>800000</v>
      </c>
      <c r="J204" s="1" t="str">
        <f>IF(H204="","",Details!$E211)</f>
        <v/>
      </c>
      <c r="K204" s="1" t="str">
        <f t="shared" si="3"/>
        <v>#REF!</v>
      </c>
    </row>
    <row r="205" ht="13.5" customHeight="1">
      <c r="A205" s="4"/>
      <c r="B205" s="4"/>
      <c r="C205" s="4"/>
      <c r="D205" s="4"/>
      <c r="E205" s="4"/>
      <c r="F205" s="4"/>
      <c r="G205" s="4"/>
      <c r="H205" s="1" t="str">
        <f>IF(Details!$B212="","",Details!$B212)</f>
        <v>13/01/2026</v>
      </c>
      <c r="I205" s="1" t="str">
        <f>IF(H205="","",Details!$F212)</f>
        <v/>
      </c>
      <c r="J205" s="1">
        <f>IF(H205="","",Details!$E212)</f>
        <v>51000</v>
      </c>
      <c r="K205" s="1" t="str">
        <f t="shared" si="3"/>
        <v>#REF!</v>
      </c>
    </row>
    <row r="206" ht="13.5" customHeight="1">
      <c r="A206" s="4"/>
      <c r="B206" s="4"/>
      <c r="C206" s="4"/>
      <c r="D206" s="4"/>
      <c r="E206" s="4"/>
      <c r="F206" s="4"/>
      <c r="G206" s="4"/>
      <c r="H206" s="1" t="str">
        <f>IF(Details!$B213="","",Details!$B213)</f>
        <v>13/01/2026</v>
      </c>
      <c r="I206" s="1" t="str">
        <f>IF(H206="","",Details!$F213)</f>
        <v/>
      </c>
      <c r="J206" s="1">
        <f>IF(H206="","",Details!$E213)</f>
        <v>22000</v>
      </c>
      <c r="K206" s="1" t="str">
        <f t="shared" si="3"/>
        <v>#REF!</v>
      </c>
    </row>
    <row r="207" ht="13.5" customHeight="1">
      <c r="A207" s="4"/>
      <c r="B207" s="4"/>
      <c r="C207" s="4"/>
      <c r="D207" s="4"/>
      <c r="E207" s="4"/>
      <c r="F207" s="4"/>
      <c r="G207" s="4"/>
      <c r="H207" s="1" t="str">
        <f>IF(Details!$B214="","",Details!$B214)</f>
        <v>13/01/2026</v>
      </c>
      <c r="I207" s="1" t="str">
        <f>IF(H207="","",Details!$F214)</f>
        <v/>
      </c>
      <c r="J207" s="1">
        <f>IF(H207="","",Details!$E214)</f>
        <v>30000</v>
      </c>
      <c r="K207" s="1" t="str">
        <f t="shared" si="3"/>
        <v>#REF!</v>
      </c>
    </row>
    <row r="208" ht="13.5" customHeight="1">
      <c r="A208" s="4"/>
      <c r="B208" s="4"/>
      <c r="C208" s="4"/>
      <c r="D208" s="4"/>
      <c r="E208" s="4"/>
      <c r="F208" s="4"/>
      <c r="G208" s="4"/>
      <c r="H208" s="1" t="str">
        <f>IF(Details!$B215="","",Details!$B215)</f>
        <v>13/01/2026</v>
      </c>
      <c r="I208" s="1" t="str">
        <f>IF(H208="","",Details!$F215)</f>
        <v/>
      </c>
      <c r="J208" s="1">
        <f>IF(H208="","",Details!$E215)</f>
        <v>70000</v>
      </c>
      <c r="K208" s="1" t="str">
        <f t="shared" si="3"/>
        <v>#REF!</v>
      </c>
    </row>
    <row r="209" ht="13.5" customHeight="1">
      <c r="A209" s="4"/>
      <c r="B209" s="4"/>
      <c r="C209" s="4"/>
      <c r="D209" s="4"/>
      <c r="E209" s="4"/>
      <c r="F209" s="4"/>
      <c r="G209" s="4"/>
      <c r="H209" s="1" t="str">
        <f>IF(Details!$B216="","",Details!$B216)</f>
        <v>13/01/2026</v>
      </c>
      <c r="I209" s="1" t="str">
        <f>IF(H209="","",Details!$F216)</f>
        <v/>
      </c>
      <c r="J209" s="1">
        <f>IF(H209="","",Details!$E216)</f>
        <v>620000</v>
      </c>
      <c r="K209" s="1" t="str">
        <f t="shared" si="3"/>
        <v>#REF!</v>
      </c>
    </row>
    <row r="210" ht="13.5" customHeight="1">
      <c r="A210" s="4"/>
      <c r="B210" s="4"/>
      <c r="C210" s="4"/>
      <c r="D210" s="4"/>
      <c r="E210" s="4"/>
      <c r="F210" s="4"/>
      <c r="G210" s="4"/>
      <c r="H210" s="1" t="str">
        <f>IF(Details!$B217="","",Details!$B217)</f>
        <v>14/01/2026</v>
      </c>
      <c r="I210" s="1" t="str">
        <f>IF(H210="","",Details!$F217)</f>
        <v/>
      </c>
      <c r="J210" s="1">
        <f>IF(H210="","",Details!$E217)</f>
        <v>51000</v>
      </c>
      <c r="K210" s="1" t="str">
        <f t="shared" si="3"/>
        <v>#REF!</v>
      </c>
    </row>
    <row r="211" ht="13.5" customHeight="1">
      <c r="A211" s="4"/>
      <c r="B211" s="4"/>
      <c r="C211" s="4"/>
      <c r="D211" s="4"/>
      <c r="E211" s="4"/>
      <c r="F211" s="4"/>
      <c r="G211" s="4"/>
      <c r="H211" s="1" t="str">
        <f>IF(Details!$B218="","",Details!$B218)</f>
        <v>14/01/2026</v>
      </c>
      <c r="I211" s="1" t="str">
        <f>IF(H211="","",Details!$F218)</f>
        <v/>
      </c>
      <c r="J211" s="1">
        <f>IF(H211="","",Details!$E218)</f>
        <v>10000</v>
      </c>
      <c r="K211" s="1" t="str">
        <f t="shared" si="3"/>
        <v>#REF!</v>
      </c>
    </row>
    <row r="212" ht="13.5" customHeight="1">
      <c r="A212" s="4"/>
      <c r="B212" s="4"/>
      <c r="C212" s="4"/>
      <c r="D212" s="4"/>
      <c r="E212" s="4"/>
      <c r="F212" s="4"/>
      <c r="G212" s="4"/>
      <c r="H212" s="1" t="str">
        <f>IF(Details!$B219="","",Details!$B219)</f>
        <v>14/01/2026</v>
      </c>
      <c r="I212" s="1" t="str">
        <f>IF(H212="","",Details!$F219)</f>
        <v/>
      </c>
      <c r="J212" s="1">
        <f>IF(H212="","",Details!$E219)</f>
        <v>10000</v>
      </c>
      <c r="K212" s="1" t="str">
        <f t="shared" si="3"/>
        <v>#REF!</v>
      </c>
    </row>
    <row r="213" ht="13.5" customHeight="1">
      <c r="A213" s="4"/>
      <c r="B213" s="4"/>
      <c r="C213" s="4"/>
      <c r="D213" s="4"/>
      <c r="E213" s="4"/>
      <c r="F213" s="4"/>
      <c r="G213" s="4"/>
      <c r="H213" s="1" t="str">
        <f>IF(Details!$B220="","",Details!$B220)</f>
        <v>15/01/2026</v>
      </c>
      <c r="I213" s="1">
        <f>IF(H213="","",Details!$F220)</f>
        <v>400000</v>
      </c>
      <c r="J213" s="1" t="str">
        <f>IF(H213="","",Details!$E220)</f>
        <v/>
      </c>
      <c r="K213" s="1" t="str">
        <f t="shared" si="3"/>
        <v>#REF!</v>
      </c>
    </row>
    <row r="214" ht="13.5" customHeight="1">
      <c r="A214" s="4"/>
      <c r="B214" s="4"/>
      <c r="C214" s="4"/>
      <c r="D214" s="4"/>
      <c r="E214" s="4"/>
      <c r="F214" s="4"/>
      <c r="G214" s="4"/>
      <c r="H214" s="1" t="str">
        <f>IF(Details!$B221="","",Details!$B221)</f>
        <v>15/01/2026</v>
      </c>
      <c r="I214" s="1" t="str">
        <f>IF(H214="","",Details!$F221)</f>
        <v/>
      </c>
      <c r="J214" s="1">
        <f>IF(H214="","",Details!$E221)</f>
        <v>300000</v>
      </c>
      <c r="K214" s="1" t="str">
        <f t="shared" si="3"/>
        <v>#REF!</v>
      </c>
    </row>
    <row r="215" ht="13.5" customHeight="1">
      <c r="A215" s="4"/>
      <c r="B215" s="4"/>
      <c r="C215" s="4"/>
      <c r="D215" s="4"/>
      <c r="E215" s="4"/>
      <c r="F215" s="4"/>
      <c r="G215" s="4"/>
      <c r="H215" s="1" t="str">
        <f>IF(Details!$B222="","",Details!$B222)</f>
        <v>15/01/2026</v>
      </c>
      <c r="I215" s="1" t="str">
        <f>IF(H215="","",Details!$F222)</f>
        <v/>
      </c>
      <c r="J215" s="1">
        <f>IF(H215="","",Details!$E222)</f>
        <v>15000</v>
      </c>
      <c r="K215" s="1" t="str">
        <f t="shared" si="3"/>
        <v>#REF!</v>
      </c>
    </row>
    <row r="216" ht="13.5" customHeight="1">
      <c r="A216" s="4"/>
      <c r="B216" s="4"/>
      <c r="C216" s="4"/>
      <c r="D216" s="4"/>
      <c r="E216" s="4"/>
      <c r="F216" s="4"/>
      <c r="G216" s="4"/>
      <c r="H216" s="1" t="str">
        <f>IF(Details!$B223="","",Details!$B223)</f>
        <v>15/01/2026</v>
      </c>
      <c r="I216" s="1" t="str">
        <f>IF(H216="","",Details!$F223)</f>
        <v/>
      </c>
      <c r="J216" s="1">
        <f>IF(H216="","",Details!$E223)</f>
        <v>10000</v>
      </c>
      <c r="K216" s="1" t="str">
        <f t="shared" si="3"/>
        <v>#REF!</v>
      </c>
    </row>
    <row r="217" ht="13.5" customHeight="1">
      <c r="A217" s="4"/>
      <c r="B217" s="4"/>
      <c r="C217" s="4"/>
      <c r="D217" s="4"/>
      <c r="E217" s="4"/>
      <c r="F217" s="4"/>
      <c r="G217" s="4"/>
      <c r="H217" s="1" t="str">
        <f>IF(Details!$B224="","",Details!$B224)</f>
        <v>15/01/2026</v>
      </c>
      <c r="I217" s="1" t="str">
        <f>IF(H217="","",Details!$F224)</f>
        <v/>
      </c>
      <c r="J217" s="1">
        <f>IF(H217="","",Details!$E224)</f>
        <v>10000</v>
      </c>
      <c r="K217" s="1" t="str">
        <f t="shared" si="3"/>
        <v>#REF!</v>
      </c>
    </row>
    <row r="218" ht="13.5" customHeight="1">
      <c r="A218" s="4"/>
      <c r="B218" s="4"/>
      <c r="C218" s="4"/>
      <c r="D218" s="4"/>
      <c r="E218" s="4"/>
      <c r="F218" s="4"/>
      <c r="G218" s="4"/>
      <c r="H218" s="1" t="str">
        <f>IF(Details!$B225="","",Details!$B225)</f>
        <v>15/01/2026</v>
      </c>
      <c r="I218" s="1" t="str">
        <f>IF(H218="","",Details!$F225)</f>
        <v/>
      </c>
      <c r="J218" s="1">
        <f>IF(H218="","",Details!$E225)</f>
        <v>15000</v>
      </c>
      <c r="K218" s="1" t="str">
        <f t="shared" si="3"/>
        <v>#REF!</v>
      </c>
    </row>
    <row r="219" ht="13.5" customHeight="1">
      <c r="A219" s="4"/>
      <c r="B219" s="4"/>
      <c r="C219" s="4"/>
      <c r="D219" s="4"/>
      <c r="E219" s="4"/>
      <c r="F219" s="4"/>
      <c r="G219" s="4"/>
      <c r="H219" s="1" t="str">
        <f>IF(Details!$B226="","",Details!$B226)</f>
        <v/>
      </c>
      <c r="I219" s="1" t="str">
        <f>IF(H219="","",Details!$F226)</f>
        <v/>
      </c>
      <c r="J219" s="1" t="str">
        <f>IF(H219="","",Details!$E226)</f>
        <v/>
      </c>
      <c r="K219" s="1" t="str">
        <f t="shared" si="3"/>
        <v/>
      </c>
    </row>
    <row r="220" ht="13.5" customHeight="1">
      <c r="A220" s="4"/>
      <c r="B220" s="4"/>
      <c r="C220" s="4"/>
      <c r="D220" s="4"/>
      <c r="E220" s="4"/>
      <c r="F220" s="4"/>
      <c r="G220" s="4"/>
      <c r="H220" s="1" t="str">
        <f>IF(Details!$B227="","",Details!$B227)</f>
        <v/>
      </c>
      <c r="I220" s="1" t="str">
        <f>IF(H220="","",Details!$F227)</f>
        <v/>
      </c>
      <c r="J220" s="1" t="str">
        <f>IF(H220="","",Details!$E227)</f>
        <v/>
      </c>
      <c r="K220" s="1" t="str">
        <f t="shared" si="3"/>
        <v/>
      </c>
    </row>
    <row r="221" ht="13.5" customHeight="1">
      <c r="A221" s="4"/>
      <c r="B221" s="4"/>
      <c r="C221" s="4"/>
      <c r="D221" s="4"/>
      <c r="E221" s="4"/>
      <c r="F221" s="4"/>
      <c r="G221" s="4"/>
      <c r="H221" s="1" t="str">
        <f>IF(Details!$B228="","",Details!$B228)</f>
        <v/>
      </c>
      <c r="I221" s="1" t="str">
        <f>IF(H221="","",Details!$F228)</f>
        <v/>
      </c>
      <c r="J221" s="1" t="str">
        <f>IF(H221="","",Details!$E228)</f>
        <v/>
      </c>
      <c r="K221" s="1" t="str">
        <f t="shared" si="3"/>
        <v/>
      </c>
    </row>
    <row r="222" ht="13.5" customHeight="1">
      <c r="A222" s="4"/>
      <c r="B222" s="4"/>
      <c r="C222" s="4"/>
      <c r="D222" s="4"/>
      <c r="E222" s="4"/>
      <c r="F222" s="4"/>
      <c r="G222" s="4"/>
      <c r="H222" s="1" t="str">
        <f>IF(Details!$B229="","",Details!$B229)</f>
        <v/>
      </c>
      <c r="I222" s="1" t="str">
        <f>IF(H222="","",Details!$F229)</f>
        <v/>
      </c>
      <c r="J222" s="1" t="str">
        <f>IF(H222="","",Details!$E229)</f>
        <v/>
      </c>
      <c r="K222" s="1" t="str">
        <f t="shared" si="3"/>
        <v/>
      </c>
    </row>
    <row r="223" ht="13.5" customHeight="1">
      <c r="A223" s="4"/>
      <c r="B223" s="4"/>
      <c r="C223" s="4"/>
      <c r="D223" s="4"/>
      <c r="E223" s="4"/>
      <c r="F223" s="4"/>
      <c r="G223" s="4"/>
      <c r="H223" s="1" t="str">
        <f>IF(Details!$B230="","",Details!$B230)</f>
        <v/>
      </c>
      <c r="I223" s="1" t="str">
        <f>IF(H223="","",Details!$F230)</f>
        <v/>
      </c>
      <c r="J223" s="1" t="str">
        <f>IF(H223="","",Details!$E230)</f>
        <v/>
      </c>
      <c r="K223" s="1" t="str">
        <f t="shared" si="3"/>
        <v/>
      </c>
    </row>
    <row r="224" ht="13.5" customHeight="1">
      <c r="A224" s="4"/>
      <c r="B224" s="4"/>
      <c r="C224" s="4"/>
      <c r="D224" s="4"/>
      <c r="E224" s="4"/>
      <c r="F224" s="4"/>
      <c r="G224" s="4"/>
      <c r="H224" s="1" t="str">
        <f>IF(Details!$B231="","",Details!$B231)</f>
        <v/>
      </c>
      <c r="I224" s="1" t="str">
        <f>IF(H224="","",Details!$F231)</f>
        <v/>
      </c>
      <c r="J224" s="1" t="str">
        <f>IF(H224="","",Details!$E231)</f>
        <v/>
      </c>
      <c r="K224" s="1" t="str">
        <f t="shared" si="3"/>
        <v/>
      </c>
    </row>
    <row r="225" ht="13.5" customHeight="1">
      <c r="A225" s="4"/>
      <c r="B225" s="4"/>
      <c r="C225" s="4"/>
      <c r="D225" s="4"/>
      <c r="E225" s="4"/>
      <c r="F225" s="4"/>
      <c r="G225" s="4"/>
      <c r="H225" s="1" t="str">
        <f>IF(Details!$B232="","",Details!$B232)</f>
        <v/>
      </c>
      <c r="I225" s="1" t="str">
        <f>IF(H225="","",Details!$F232)</f>
        <v/>
      </c>
      <c r="J225" s="1" t="str">
        <f>IF(H225="","",Details!$E232)</f>
        <v/>
      </c>
      <c r="K225" s="1" t="str">
        <f t="shared" si="3"/>
        <v/>
      </c>
    </row>
    <row r="226" ht="13.5" customHeight="1">
      <c r="A226" s="4"/>
      <c r="B226" s="4"/>
      <c r="C226" s="4"/>
      <c r="D226" s="4"/>
      <c r="E226" s="4"/>
      <c r="F226" s="4"/>
      <c r="G226" s="4"/>
      <c r="H226" s="1" t="str">
        <f>IF(Details!$B233="","",Details!$B233)</f>
        <v/>
      </c>
      <c r="I226" s="1" t="str">
        <f>IF(H226="","",Details!$F233)</f>
        <v/>
      </c>
      <c r="J226" s="1" t="str">
        <f>IF(H226="","",Details!$E233)</f>
        <v/>
      </c>
      <c r="K226" s="1" t="str">
        <f t="shared" si="3"/>
        <v/>
      </c>
    </row>
    <row r="227" ht="13.5" customHeight="1">
      <c r="A227" s="4"/>
      <c r="B227" s="4"/>
      <c r="C227" s="4"/>
      <c r="D227" s="4"/>
      <c r="E227" s="4"/>
      <c r="F227" s="4"/>
      <c r="G227" s="4"/>
      <c r="H227" s="1" t="str">
        <f>IF(Details!$B234="","",Details!$B234)</f>
        <v/>
      </c>
      <c r="I227" s="1" t="str">
        <f>IF(H227="","",Details!$F234)</f>
        <v/>
      </c>
      <c r="J227" s="1" t="str">
        <f>IF(H227="","",Details!$E234)</f>
        <v/>
      </c>
      <c r="K227" s="1" t="str">
        <f t="shared" si="3"/>
        <v/>
      </c>
    </row>
    <row r="228" ht="13.5" customHeight="1">
      <c r="A228" s="4"/>
      <c r="B228" s="4"/>
      <c r="C228" s="4"/>
      <c r="D228" s="4"/>
      <c r="E228" s="4"/>
      <c r="F228" s="4"/>
      <c r="G228" s="4"/>
      <c r="H228" s="1" t="str">
        <f>IF(Details!$B235="","",Details!$B235)</f>
        <v/>
      </c>
      <c r="I228" s="1" t="str">
        <f>IF(H228="","",Details!$F235)</f>
        <v/>
      </c>
      <c r="J228" s="1" t="str">
        <f>IF(H228="","",Details!$E235)</f>
        <v/>
      </c>
      <c r="K228" s="1" t="str">
        <f t="shared" si="3"/>
        <v/>
      </c>
    </row>
    <row r="229" ht="13.5" customHeight="1">
      <c r="A229" s="4"/>
      <c r="B229" s="4"/>
      <c r="C229" s="4"/>
      <c r="D229" s="4"/>
      <c r="E229" s="4"/>
      <c r="F229" s="4"/>
      <c r="G229" s="4"/>
      <c r="H229" s="1" t="str">
        <f>IF(Details!$B236="","",Details!$B236)</f>
        <v/>
      </c>
      <c r="I229" s="1" t="str">
        <f>IF(H229="","",Details!$F236)</f>
        <v/>
      </c>
      <c r="J229" s="1" t="str">
        <f>IF(H229="","",Details!$E236)</f>
        <v/>
      </c>
      <c r="K229" s="1" t="str">
        <f t="shared" si="3"/>
        <v/>
      </c>
    </row>
    <row r="230" ht="13.5" customHeight="1">
      <c r="A230" s="4"/>
      <c r="B230" s="4"/>
      <c r="C230" s="4"/>
      <c r="D230" s="4"/>
      <c r="E230" s="4"/>
      <c r="F230" s="4"/>
      <c r="G230" s="4"/>
      <c r="H230" s="1" t="str">
        <f>IF(Details!$B237="","",Details!$B237)</f>
        <v/>
      </c>
      <c r="I230" s="1" t="str">
        <f>IF(H230="","",Details!$F237)</f>
        <v/>
      </c>
      <c r="J230" s="1" t="str">
        <f>IF(H230="","",Details!$E237)</f>
        <v/>
      </c>
      <c r="K230" s="1" t="str">
        <f t="shared" si="3"/>
        <v/>
      </c>
    </row>
    <row r="231" ht="13.5" customHeight="1">
      <c r="A231" s="4"/>
      <c r="B231" s="4"/>
      <c r="C231" s="4"/>
      <c r="D231" s="4"/>
      <c r="E231" s="4"/>
      <c r="F231" s="4"/>
      <c r="G231" s="4"/>
      <c r="H231" s="1" t="str">
        <f>IF(Details!$B238="","",Details!$B238)</f>
        <v/>
      </c>
      <c r="I231" s="1" t="str">
        <f>IF(H231="","",Details!$F238)</f>
        <v/>
      </c>
      <c r="J231" s="1" t="str">
        <f>IF(H231="","",Details!$E238)</f>
        <v/>
      </c>
      <c r="K231" s="1" t="str">
        <f t="shared" si="3"/>
        <v/>
      </c>
    </row>
    <row r="232" ht="13.5" customHeight="1">
      <c r="A232" s="4"/>
      <c r="B232" s="4"/>
      <c r="C232" s="4"/>
      <c r="D232" s="4"/>
      <c r="E232" s="4"/>
      <c r="F232" s="4"/>
      <c r="G232" s="4"/>
      <c r="H232" s="1" t="str">
        <f>IF(Details!$B239="","",Details!$B239)</f>
        <v/>
      </c>
      <c r="I232" s="1" t="str">
        <f>IF(H232="","",Details!$F239)</f>
        <v/>
      </c>
      <c r="J232" s="1" t="str">
        <f>IF(H232="","",Details!$E239)</f>
        <v/>
      </c>
      <c r="K232" s="1" t="str">
        <f t="shared" si="3"/>
        <v/>
      </c>
    </row>
    <row r="233" ht="13.5" customHeight="1">
      <c r="A233" s="4"/>
      <c r="B233" s="4"/>
      <c r="C233" s="4"/>
      <c r="D233" s="4"/>
      <c r="E233" s="4"/>
      <c r="F233" s="4"/>
      <c r="G233" s="4"/>
      <c r="H233" s="1" t="str">
        <f>IF(Details!$B240="","",Details!$B240)</f>
        <v/>
      </c>
      <c r="I233" s="1" t="str">
        <f>IF(H233="","",Details!$F240)</f>
        <v/>
      </c>
      <c r="J233" s="1" t="str">
        <f>IF(H233="","",Details!$E240)</f>
        <v/>
      </c>
      <c r="K233" s="1" t="str">
        <f t="shared" si="3"/>
        <v/>
      </c>
    </row>
    <row r="234" ht="13.5" customHeight="1">
      <c r="A234" s="4"/>
      <c r="B234" s="4"/>
      <c r="C234" s="4"/>
      <c r="D234" s="4"/>
      <c r="E234" s="4"/>
      <c r="F234" s="4"/>
      <c r="G234" s="4"/>
      <c r="H234" s="1" t="str">
        <f>IF(Details!$B241="","",Details!$B241)</f>
        <v/>
      </c>
      <c r="I234" s="1" t="str">
        <f>IF(H234="","",Details!$F241)</f>
        <v/>
      </c>
      <c r="J234" s="1" t="str">
        <f>IF(H234="","",Details!$E241)</f>
        <v/>
      </c>
      <c r="K234" s="1" t="str">
        <f t="shared" si="3"/>
        <v/>
      </c>
    </row>
    <row r="235" ht="13.5" customHeight="1">
      <c r="A235" s="4"/>
      <c r="B235" s="4"/>
      <c r="C235" s="4"/>
      <c r="D235" s="4"/>
      <c r="E235" s="4"/>
      <c r="F235" s="4"/>
      <c r="G235" s="4"/>
      <c r="H235" s="1" t="str">
        <f>IF(Details!$B242="","",Details!$B242)</f>
        <v/>
      </c>
      <c r="I235" s="1" t="str">
        <f>IF(H235="","",Details!$F242)</f>
        <v/>
      </c>
      <c r="J235" s="1" t="str">
        <f>IF(H235="","",Details!$E242)</f>
        <v/>
      </c>
      <c r="K235" s="1" t="str">
        <f t="shared" si="3"/>
        <v/>
      </c>
    </row>
    <row r="236" ht="13.5" customHeight="1">
      <c r="A236" s="4"/>
      <c r="B236" s="4"/>
      <c r="C236" s="4"/>
      <c r="D236" s="4"/>
      <c r="E236" s="4"/>
      <c r="F236" s="4"/>
      <c r="G236" s="4"/>
      <c r="H236" s="1" t="str">
        <f>IF(Details!$B243="","",Details!$B243)</f>
        <v/>
      </c>
      <c r="I236" s="1" t="str">
        <f>IF(H236="","",Details!$F243)</f>
        <v/>
      </c>
      <c r="J236" s="1" t="str">
        <f>IF(H236="","",Details!$E243)</f>
        <v/>
      </c>
      <c r="K236" s="1" t="str">
        <f t="shared" si="3"/>
        <v/>
      </c>
    </row>
    <row r="237" ht="13.5" customHeight="1">
      <c r="A237" s="4"/>
      <c r="B237" s="4"/>
      <c r="C237" s="4"/>
      <c r="D237" s="4"/>
      <c r="E237" s="4"/>
      <c r="F237" s="4"/>
      <c r="G237" s="4"/>
      <c r="H237" s="1" t="str">
        <f>IF(Details!$B244="","",Details!$B244)</f>
        <v/>
      </c>
      <c r="I237" s="1" t="str">
        <f>IF(H237="","",Details!$F244)</f>
        <v/>
      </c>
      <c r="J237" s="1" t="str">
        <f>IF(H237="","",Details!$E244)</f>
        <v/>
      </c>
      <c r="K237" s="1" t="str">
        <f t="shared" si="3"/>
        <v/>
      </c>
    </row>
    <row r="238" ht="13.5" customHeight="1">
      <c r="A238" s="4"/>
      <c r="B238" s="4"/>
      <c r="C238" s="4"/>
      <c r="D238" s="4"/>
      <c r="E238" s="4"/>
      <c r="F238" s="4"/>
      <c r="G238" s="4"/>
      <c r="H238" s="1" t="str">
        <f>IF(Details!$B245="","",Details!$B245)</f>
        <v/>
      </c>
      <c r="I238" s="1" t="str">
        <f>IF(H238="","",Details!$F245)</f>
        <v/>
      </c>
      <c r="J238" s="1" t="str">
        <f>IF(H238="","",Details!$E245)</f>
        <v/>
      </c>
      <c r="K238" s="1" t="str">
        <f t="shared" si="3"/>
        <v/>
      </c>
    </row>
    <row r="239" ht="13.5" customHeight="1">
      <c r="A239" s="4"/>
      <c r="B239" s="4"/>
      <c r="C239" s="4"/>
      <c r="D239" s="4"/>
      <c r="E239" s="4"/>
      <c r="F239" s="4"/>
      <c r="G239" s="4"/>
      <c r="H239" s="1" t="str">
        <f>IF(Details!$B246="","",Details!$B246)</f>
        <v/>
      </c>
      <c r="I239" s="1" t="str">
        <f>IF(H239="","",Details!$F246)</f>
        <v/>
      </c>
      <c r="J239" s="1" t="str">
        <f>IF(H239="","",Details!$E246)</f>
        <v/>
      </c>
      <c r="K239" s="1" t="str">
        <f t="shared" si="3"/>
        <v/>
      </c>
    </row>
    <row r="240" ht="13.5" customHeight="1">
      <c r="A240" s="4"/>
      <c r="B240" s="4"/>
      <c r="C240" s="4"/>
      <c r="D240" s="4"/>
      <c r="E240" s="4"/>
      <c r="F240" s="4"/>
      <c r="G240" s="4"/>
      <c r="H240" s="1" t="str">
        <f>IF(Details!$B247="","",Details!$B247)</f>
        <v/>
      </c>
      <c r="I240" s="1" t="str">
        <f>IF(H240="","",Details!$F247)</f>
        <v/>
      </c>
      <c r="J240" s="1" t="str">
        <f>IF(H240="","",Details!$E247)</f>
        <v/>
      </c>
      <c r="K240" s="1" t="str">
        <f t="shared" si="3"/>
        <v/>
      </c>
    </row>
    <row r="241" ht="13.5" customHeight="1">
      <c r="A241" s="4"/>
      <c r="B241" s="4"/>
      <c r="C241" s="4"/>
      <c r="D241" s="4"/>
      <c r="E241" s="4"/>
      <c r="F241" s="4"/>
      <c r="G241" s="4"/>
      <c r="H241" s="1" t="str">
        <f>IF(Details!$B248="","",Details!$B248)</f>
        <v/>
      </c>
      <c r="I241" s="1" t="str">
        <f>IF(H241="","",Details!$F248)</f>
        <v/>
      </c>
      <c r="J241" s="1" t="str">
        <f>IF(H241="","",Details!$E248)</f>
        <v/>
      </c>
      <c r="K241" s="1" t="str">
        <f t="shared" si="3"/>
        <v/>
      </c>
    </row>
    <row r="242" ht="13.5" customHeight="1">
      <c r="A242" s="4"/>
      <c r="B242" s="4"/>
      <c r="C242" s="4"/>
      <c r="D242" s="4"/>
      <c r="E242" s="4"/>
      <c r="F242" s="4"/>
      <c r="G242" s="4"/>
      <c r="H242" s="1" t="str">
        <f>IF(Details!$B249="","",Details!$B249)</f>
        <v/>
      </c>
      <c r="I242" s="1" t="str">
        <f>IF(H242="","",Details!$F249)</f>
        <v/>
      </c>
      <c r="J242" s="1" t="str">
        <f>IF(H242="","",Details!$E249)</f>
        <v/>
      </c>
      <c r="K242" s="1" t="str">
        <f t="shared" si="3"/>
        <v/>
      </c>
    </row>
    <row r="243" ht="13.5" customHeight="1">
      <c r="A243" s="4"/>
      <c r="B243" s="4"/>
      <c r="C243" s="4"/>
      <c r="D243" s="4"/>
      <c r="E243" s="4"/>
      <c r="F243" s="4"/>
      <c r="G243" s="4"/>
      <c r="H243" s="1" t="str">
        <f>IF(Details!$B250="","",Details!$B250)</f>
        <v/>
      </c>
      <c r="I243" s="1" t="str">
        <f>IF(H243="","",Details!$F250)</f>
        <v/>
      </c>
      <c r="J243" s="1" t="str">
        <f>IF(H243="","",Details!$E250)</f>
        <v/>
      </c>
      <c r="K243" s="1" t="str">
        <f t="shared" si="3"/>
        <v/>
      </c>
    </row>
    <row r="244" ht="13.5" customHeight="1">
      <c r="A244" s="4"/>
      <c r="B244" s="4"/>
      <c r="C244" s="4"/>
      <c r="D244" s="4"/>
      <c r="E244" s="4"/>
      <c r="F244" s="4"/>
      <c r="G244" s="4"/>
      <c r="H244" s="1" t="str">
        <f>IF(Details!$B251="","",Details!$B251)</f>
        <v/>
      </c>
      <c r="I244" s="1" t="str">
        <f>IF(H244="","",Details!$F251)</f>
        <v/>
      </c>
      <c r="J244" s="1" t="str">
        <f>IF(H244="","",Details!$E251)</f>
        <v/>
      </c>
      <c r="K244" s="1" t="str">
        <f t="shared" si="3"/>
        <v/>
      </c>
    </row>
    <row r="245" ht="13.5" customHeight="1">
      <c r="A245" s="4"/>
      <c r="B245" s="4"/>
      <c r="C245" s="4"/>
      <c r="D245" s="4"/>
      <c r="E245" s="4"/>
      <c r="F245" s="4"/>
      <c r="G245" s="4"/>
      <c r="H245" s="1" t="str">
        <f>IF(Details!$B252="","",Details!$B252)</f>
        <v/>
      </c>
      <c r="I245" s="1" t="str">
        <f>IF(H245="","",Details!$F252)</f>
        <v/>
      </c>
      <c r="J245" s="1" t="str">
        <f>IF(H245="","",Details!$E252)</f>
        <v/>
      </c>
      <c r="K245" s="1" t="str">
        <f t="shared" si="3"/>
        <v/>
      </c>
    </row>
    <row r="246" ht="13.5" customHeight="1">
      <c r="A246" s="4"/>
      <c r="B246" s="4"/>
      <c r="C246" s="4"/>
      <c r="D246" s="4"/>
      <c r="E246" s="4"/>
      <c r="F246" s="4"/>
      <c r="G246" s="4"/>
      <c r="H246" s="1" t="str">
        <f>IF(Details!$B253="","",Details!$B253)</f>
        <v/>
      </c>
      <c r="I246" s="1" t="str">
        <f>IF(H246="","",Details!$F253)</f>
        <v/>
      </c>
      <c r="J246" s="1" t="str">
        <f>IF(H246="","",Details!$E253)</f>
        <v/>
      </c>
      <c r="K246" s="1" t="str">
        <f t="shared" si="3"/>
        <v/>
      </c>
    </row>
    <row r="247" ht="13.5" customHeight="1">
      <c r="A247" s="4"/>
      <c r="B247" s="4"/>
      <c r="C247" s="4"/>
      <c r="D247" s="4"/>
      <c r="E247" s="4"/>
      <c r="F247" s="4"/>
      <c r="G247" s="4"/>
      <c r="H247" s="1" t="str">
        <f>IF(Details!$B254="","",Details!$B254)</f>
        <v/>
      </c>
      <c r="I247" s="1" t="str">
        <f>IF(H247="","",Details!$F254)</f>
        <v/>
      </c>
      <c r="J247" s="1" t="str">
        <f>IF(H247="","",Details!$E254)</f>
        <v/>
      </c>
      <c r="K247" s="1" t="str">
        <f t="shared" si="3"/>
        <v/>
      </c>
    </row>
    <row r="248" ht="13.5" customHeight="1">
      <c r="A248" s="4"/>
      <c r="B248" s="4"/>
      <c r="C248" s="4"/>
      <c r="D248" s="4"/>
      <c r="E248" s="4"/>
      <c r="F248" s="4"/>
      <c r="G248" s="4"/>
      <c r="H248" s="1" t="str">
        <f>IF(Details!$B255="","",Details!$B255)</f>
        <v/>
      </c>
      <c r="I248" s="1" t="str">
        <f>IF(H248="","",Details!$F255)</f>
        <v/>
      </c>
      <c r="J248" s="1" t="str">
        <f>IF(H248="","",Details!$E255)</f>
        <v/>
      </c>
      <c r="K248" s="1" t="str">
        <f t="shared" si="3"/>
        <v/>
      </c>
    </row>
    <row r="249" ht="13.5" customHeight="1">
      <c r="A249" s="4"/>
      <c r="B249" s="4"/>
      <c r="C249" s="4"/>
      <c r="D249" s="4"/>
      <c r="E249" s="4"/>
      <c r="F249" s="4"/>
      <c r="G249" s="4"/>
      <c r="H249" s="1" t="str">
        <f>IF(Details!$B256="","",Details!$B256)</f>
        <v/>
      </c>
      <c r="I249" s="1" t="str">
        <f>IF(H249="","",Details!$F256)</f>
        <v/>
      </c>
      <c r="J249" s="1" t="str">
        <f>IF(H249="","",Details!$E256)</f>
        <v/>
      </c>
      <c r="K249" s="1" t="str">
        <f t="shared" si="3"/>
        <v/>
      </c>
    </row>
    <row r="250" ht="13.5" customHeight="1">
      <c r="A250" s="4"/>
      <c r="B250" s="4"/>
      <c r="C250" s="4"/>
      <c r="D250" s="4"/>
      <c r="E250" s="4"/>
      <c r="F250" s="4"/>
      <c r="G250" s="4"/>
      <c r="H250" s="1" t="str">
        <f>IF(Details!$B257="","",Details!$B257)</f>
        <v/>
      </c>
      <c r="I250" s="1" t="str">
        <f>IF(H250="","",Details!$F257)</f>
        <v/>
      </c>
      <c r="J250" s="1" t="str">
        <f>IF(H250="","",Details!$E257)</f>
        <v/>
      </c>
      <c r="K250" s="1" t="str">
        <f t="shared" si="3"/>
        <v/>
      </c>
    </row>
    <row r="251" ht="13.5" customHeight="1">
      <c r="A251" s="4"/>
      <c r="B251" s="4"/>
      <c r="C251" s="4"/>
      <c r="D251" s="4"/>
      <c r="E251" s="4"/>
      <c r="F251" s="4"/>
      <c r="G251" s="4"/>
      <c r="H251" s="1" t="str">
        <f>IF(Details!$B258="","",Details!$B258)</f>
        <v/>
      </c>
      <c r="I251" s="1" t="str">
        <f>IF(H251="","",Details!$F258)</f>
        <v/>
      </c>
      <c r="J251" s="1" t="str">
        <f>IF(H251="","",Details!$E258)</f>
        <v/>
      </c>
      <c r="K251" s="1" t="str">
        <f t="shared" si="3"/>
        <v/>
      </c>
    </row>
    <row r="252" ht="13.5" customHeight="1">
      <c r="A252" s="4"/>
      <c r="B252" s="4"/>
      <c r="C252" s="4"/>
      <c r="D252" s="4"/>
      <c r="E252" s="4"/>
      <c r="F252" s="4"/>
      <c r="G252" s="4"/>
      <c r="H252" s="1" t="str">
        <f>IF(Details!$B259="","",Details!$B259)</f>
        <v/>
      </c>
      <c r="I252" s="1" t="str">
        <f>IF(H252="","",Details!$F259)</f>
        <v/>
      </c>
      <c r="J252" s="1" t="str">
        <f>IF(H252="","",Details!$E259)</f>
        <v/>
      </c>
      <c r="K252" s="1" t="str">
        <f t="shared" si="3"/>
        <v/>
      </c>
    </row>
    <row r="253" ht="13.5" customHeight="1">
      <c r="A253" s="4"/>
      <c r="B253" s="4"/>
      <c r="C253" s="4"/>
      <c r="D253" s="4"/>
      <c r="E253" s="4"/>
      <c r="F253" s="4"/>
      <c r="G253" s="4"/>
      <c r="H253" s="1" t="str">
        <f>IF(Details!$B260="","",Details!$B260)</f>
        <v/>
      </c>
      <c r="I253" s="1" t="str">
        <f>IF(H253="","",Details!$F260)</f>
        <v/>
      </c>
      <c r="J253" s="1" t="str">
        <f>IF(H253="","",Details!$E260)</f>
        <v/>
      </c>
      <c r="K253" s="1" t="str">
        <f t="shared" si="3"/>
        <v/>
      </c>
    </row>
    <row r="254" ht="13.5" customHeight="1">
      <c r="A254" s="4"/>
      <c r="B254" s="4"/>
      <c r="C254" s="4"/>
      <c r="D254" s="4"/>
      <c r="E254" s="4"/>
      <c r="F254" s="4"/>
      <c r="G254" s="4"/>
      <c r="H254" s="1" t="str">
        <f>IF(Details!$B261="","",Details!$B261)</f>
        <v/>
      </c>
      <c r="I254" s="1" t="str">
        <f>IF(H254="","",Details!$F261)</f>
        <v/>
      </c>
      <c r="J254" s="1" t="str">
        <f>IF(H254="","",Details!$E261)</f>
        <v/>
      </c>
      <c r="K254" s="1" t="str">
        <f t="shared" si="3"/>
        <v/>
      </c>
    </row>
    <row r="255" ht="13.5" customHeight="1">
      <c r="A255" s="4"/>
      <c r="B255" s="4"/>
      <c r="C255" s="4"/>
      <c r="D255" s="4"/>
      <c r="E255" s="4"/>
      <c r="F255" s="4"/>
      <c r="G255" s="4"/>
      <c r="H255" s="1" t="str">
        <f>IF(Details!$B262="","",Details!$B262)</f>
        <v/>
      </c>
      <c r="I255" s="1" t="str">
        <f>IF(H255="","",Details!$F262)</f>
        <v/>
      </c>
      <c r="J255" s="1" t="str">
        <f>IF(H255="","",Details!$E262)</f>
        <v/>
      </c>
      <c r="K255" s="1" t="str">
        <f t="shared" si="3"/>
        <v/>
      </c>
    </row>
    <row r="256" ht="13.5" customHeight="1">
      <c r="A256" s="4"/>
      <c r="B256" s="4"/>
      <c r="C256" s="4"/>
      <c r="D256" s="4"/>
      <c r="E256" s="4"/>
      <c r="F256" s="4"/>
      <c r="G256" s="4"/>
      <c r="H256" s="1" t="str">
        <f>IF(Details!$B263="","",Details!$B263)</f>
        <v/>
      </c>
      <c r="I256" s="1" t="str">
        <f>IF(H256="","",Details!$F263)</f>
        <v/>
      </c>
      <c r="J256" s="1" t="str">
        <f>IF(H256="","",Details!$E263)</f>
        <v/>
      </c>
      <c r="K256" s="1" t="str">
        <f t="shared" si="3"/>
        <v/>
      </c>
    </row>
    <row r="257" ht="13.5" customHeight="1">
      <c r="A257" s="4"/>
      <c r="B257" s="4"/>
      <c r="C257" s="4"/>
      <c r="D257" s="4"/>
      <c r="E257" s="4"/>
      <c r="F257" s="4"/>
      <c r="G257" s="4"/>
      <c r="H257" s="1" t="str">
        <f>IF(Details!$B264="","",Details!$B264)</f>
        <v/>
      </c>
      <c r="I257" s="1" t="str">
        <f>IF(H257="","",Details!$F264)</f>
        <v/>
      </c>
      <c r="J257" s="1" t="str">
        <f>IF(H257="","",Details!$E264)</f>
        <v/>
      </c>
      <c r="K257" s="1" t="str">
        <f t="shared" si="3"/>
        <v/>
      </c>
    </row>
    <row r="258" ht="13.5" customHeight="1">
      <c r="A258" s="4"/>
      <c r="B258" s="4"/>
      <c r="C258" s="4"/>
      <c r="D258" s="4"/>
      <c r="E258" s="4"/>
      <c r="F258" s="4"/>
      <c r="G258" s="4"/>
      <c r="H258" s="1" t="str">
        <f>IF(Details!$B265="","",Details!$B265)</f>
        <v/>
      </c>
      <c r="I258" s="1" t="str">
        <f>IF(H258="","",Details!$F265)</f>
        <v/>
      </c>
      <c r="J258" s="1" t="str">
        <f>IF(H258="","",Details!$E265)</f>
        <v/>
      </c>
      <c r="K258" s="1" t="str">
        <f t="shared" si="3"/>
        <v/>
      </c>
    </row>
    <row r="259" ht="13.5" customHeight="1">
      <c r="A259" s="4"/>
      <c r="B259" s="4"/>
      <c r="C259" s="4"/>
      <c r="D259" s="4"/>
      <c r="E259" s="4"/>
      <c r="F259" s="4"/>
      <c r="G259" s="4"/>
      <c r="H259" s="1" t="str">
        <f>IF(Details!$B266="","",Details!$B266)</f>
        <v/>
      </c>
      <c r="I259" s="1" t="str">
        <f>IF(H259="","",Details!$F266)</f>
        <v/>
      </c>
      <c r="J259" s="1" t="str">
        <f>IF(H259="","",Details!$E266)</f>
        <v/>
      </c>
      <c r="K259" s="1" t="str">
        <f t="shared" si="3"/>
        <v/>
      </c>
    </row>
    <row r="260" ht="13.5" customHeight="1">
      <c r="A260" s="4"/>
      <c r="B260" s="4"/>
      <c r="C260" s="4"/>
      <c r="D260" s="4"/>
      <c r="E260" s="4"/>
      <c r="F260" s="4"/>
      <c r="G260" s="4"/>
      <c r="H260" s="1" t="str">
        <f>IF(Details!$B267="","",Details!$B267)</f>
        <v/>
      </c>
      <c r="I260" s="1" t="str">
        <f>IF(H260="","",Details!$F267)</f>
        <v/>
      </c>
      <c r="J260" s="1" t="str">
        <f>IF(H260="","",Details!$E267)</f>
        <v/>
      </c>
      <c r="K260" s="1" t="str">
        <f t="shared" si="3"/>
        <v/>
      </c>
    </row>
    <row r="261" ht="13.5" customHeight="1">
      <c r="A261" s="4"/>
      <c r="B261" s="4"/>
      <c r="C261" s="4"/>
      <c r="D261" s="4"/>
      <c r="E261" s="4"/>
      <c r="F261" s="4"/>
      <c r="G261" s="4"/>
      <c r="H261" s="1" t="str">
        <f>IF(Details!$B268="","",Details!$B268)</f>
        <v/>
      </c>
      <c r="I261" s="1" t="str">
        <f>IF(H261="","",Details!$F268)</f>
        <v/>
      </c>
      <c r="J261" s="1" t="str">
        <f>IF(H261="","",Details!$E268)</f>
        <v/>
      </c>
      <c r="K261" s="1" t="str">
        <f t="shared" si="3"/>
        <v/>
      </c>
    </row>
    <row r="262" ht="13.5" customHeight="1">
      <c r="A262" s="4"/>
      <c r="B262" s="4"/>
      <c r="C262" s="4"/>
      <c r="D262" s="4"/>
      <c r="E262" s="4"/>
      <c r="F262" s="4"/>
      <c r="G262" s="4"/>
      <c r="H262" s="1" t="str">
        <f>IF(Details!$B269="","",Details!$B269)</f>
        <v/>
      </c>
      <c r="I262" s="1" t="str">
        <f>IF(H262="","",Details!$F269)</f>
        <v/>
      </c>
      <c r="J262" s="1" t="str">
        <f>IF(H262="","",Details!$E269)</f>
        <v/>
      </c>
      <c r="K262" s="1" t="str">
        <f t="shared" si="3"/>
        <v/>
      </c>
    </row>
    <row r="263" ht="13.5" customHeight="1">
      <c r="A263" s="4"/>
      <c r="B263" s="4"/>
      <c r="C263" s="4"/>
      <c r="D263" s="4"/>
      <c r="E263" s="4"/>
      <c r="F263" s="4"/>
      <c r="G263" s="4"/>
      <c r="H263" s="1" t="str">
        <f>IF(Details!$B270="","",Details!$B270)</f>
        <v/>
      </c>
      <c r="I263" s="1" t="str">
        <f>IF(H263="","",Details!$F270)</f>
        <v/>
      </c>
      <c r="J263" s="1" t="str">
        <f>IF(H263="","",Details!$E270)</f>
        <v/>
      </c>
      <c r="K263" s="1" t="str">
        <f t="shared" si="3"/>
        <v/>
      </c>
    </row>
    <row r="264" ht="13.5" customHeight="1">
      <c r="A264" s="4"/>
      <c r="B264" s="4"/>
      <c r="C264" s="4"/>
      <c r="D264" s="4"/>
      <c r="E264" s="4"/>
      <c r="F264" s="4"/>
      <c r="G264" s="4"/>
      <c r="H264" s="1" t="str">
        <f>IF(Details!$B271="","",Details!$B271)</f>
        <v/>
      </c>
      <c r="I264" s="1" t="str">
        <f>IF(H264="","",Details!$F271)</f>
        <v/>
      </c>
      <c r="J264" s="1" t="str">
        <f>IF(H264="","",Details!$E271)</f>
        <v/>
      </c>
      <c r="K264" s="1" t="str">
        <f t="shared" si="3"/>
        <v/>
      </c>
    </row>
    <row r="265" ht="13.5" customHeight="1">
      <c r="A265" s="4"/>
      <c r="B265" s="4"/>
      <c r="C265" s="4"/>
      <c r="D265" s="4"/>
      <c r="E265" s="4"/>
      <c r="F265" s="4"/>
      <c r="G265" s="4"/>
      <c r="H265" s="1" t="str">
        <f>IF(Details!$B272="","",Details!$B272)</f>
        <v/>
      </c>
      <c r="I265" s="1" t="str">
        <f>IF(H265="","",Details!$F272)</f>
        <v/>
      </c>
      <c r="J265" s="1" t="str">
        <f>IF(H265="","",Details!$E272)</f>
        <v/>
      </c>
      <c r="K265" s="1" t="str">
        <f t="shared" si="3"/>
        <v/>
      </c>
    </row>
    <row r="266" ht="13.5" customHeight="1">
      <c r="A266" s="4"/>
      <c r="B266" s="4"/>
      <c r="C266" s="4"/>
      <c r="D266" s="4"/>
      <c r="E266" s="4"/>
      <c r="F266" s="4"/>
      <c r="G266" s="4"/>
      <c r="H266" s="1" t="str">
        <f>IF(Details!$B273="","",Details!$B273)</f>
        <v/>
      </c>
      <c r="I266" s="1" t="str">
        <f>IF(H266="","",Details!$F273)</f>
        <v/>
      </c>
      <c r="J266" s="1" t="str">
        <f>IF(H266="","",Details!$E273)</f>
        <v/>
      </c>
      <c r="K266" s="1" t="str">
        <f t="shared" si="3"/>
        <v/>
      </c>
    </row>
    <row r="267" ht="13.5" customHeight="1">
      <c r="A267" s="4"/>
      <c r="B267" s="4"/>
      <c r="C267" s="4"/>
      <c r="D267" s="4"/>
      <c r="E267" s="4"/>
      <c r="F267" s="4"/>
      <c r="G267" s="4"/>
      <c r="H267" s="1" t="str">
        <f>IF(Details!$B274="","",Details!$B274)</f>
        <v/>
      </c>
      <c r="I267" s="1" t="str">
        <f>IF(H267="","",Details!$F274)</f>
        <v/>
      </c>
      <c r="J267" s="1" t="str">
        <f>IF(H267="","",Details!$E274)</f>
        <v/>
      </c>
      <c r="K267" s="1" t="str">
        <f t="shared" si="3"/>
        <v/>
      </c>
    </row>
    <row r="268" ht="13.5" customHeight="1">
      <c r="A268" s="4"/>
      <c r="B268" s="4"/>
      <c r="C268" s="4"/>
      <c r="D268" s="4"/>
      <c r="E268" s="4"/>
      <c r="F268" s="4"/>
      <c r="G268" s="4"/>
      <c r="H268" s="1" t="str">
        <f>IF(Details!$B275="","",Details!$B275)</f>
        <v/>
      </c>
      <c r="I268" s="1" t="str">
        <f>IF(H268="","",Details!$F275)</f>
        <v/>
      </c>
      <c r="J268" s="1" t="str">
        <f>IF(H268="","",Details!$E275)</f>
        <v/>
      </c>
      <c r="K268" s="1" t="str">
        <f t="shared" si="3"/>
        <v/>
      </c>
    </row>
    <row r="269" ht="13.5" customHeight="1">
      <c r="A269" s="4"/>
      <c r="B269" s="4"/>
      <c r="C269" s="4"/>
      <c r="D269" s="4"/>
      <c r="E269" s="4"/>
      <c r="F269" s="4"/>
      <c r="G269" s="4"/>
      <c r="H269" s="1" t="str">
        <f>IF(Details!$B276="","",Details!$B276)</f>
        <v/>
      </c>
      <c r="I269" s="1" t="str">
        <f>IF(H269="","",Details!$F276)</f>
        <v/>
      </c>
      <c r="J269" s="1" t="str">
        <f>IF(H269="","",Details!$E276)</f>
        <v/>
      </c>
      <c r="K269" s="1" t="str">
        <f t="shared" si="3"/>
        <v/>
      </c>
    </row>
    <row r="270" ht="13.5" customHeight="1">
      <c r="A270" s="4"/>
      <c r="B270" s="4"/>
      <c r="C270" s="4"/>
      <c r="D270" s="4"/>
      <c r="E270" s="4"/>
      <c r="F270" s="4"/>
      <c r="G270" s="4"/>
      <c r="H270" s="1" t="str">
        <f>IF(Details!$B277="","",Details!$B277)</f>
        <v/>
      </c>
      <c r="I270" s="1" t="str">
        <f>IF(H270="","",Details!$F277)</f>
        <v/>
      </c>
      <c r="J270" s="1" t="str">
        <f>IF(H270="","",Details!$E277)</f>
        <v/>
      </c>
      <c r="K270" s="1" t="str">
        <f t="shared" si="3"/>
        <v/>
      </c>
    </row>
    <row r="271" ht="13.5" customHeight="1">
      <c r="A271" s="4"/>
      <c r="B271" s="4"/>
      <c r="C271" s="4"/>
      <c r="D271" s="4"/>
      <c r="E271" s="4"/>
      <c r="F271" s="4"/>
      <c r="G271" s="4"/>
      <c r="H271" s="1" t="str">
        <f>IF(Details!$B278="","",Details!$B278)</f>
        <v/>
      </c>
      <c r="I271" s="1" t="str">
        <f>IF(H271="","",Details!$F278)</f>
        <v/>
      </c>
      <c r="J271" s="1" t="str">
        <f>IF(H271="","",Details!$E278)</f>
        <v/>
      </c>
      <c r="K271" s="1" t="str">
        <f t="shared" si="3"/>
        <v/>
      </c>
    </row>
    <row r="272" ht="13.5" customHeight="1">
      <c r="A272" s="4"/>
      <c r="B272" s="4"/>
      <c r="C272" s="4"/>
      <c r="D272" s="4"/>
      <c r="E272" s="4"/>
      <c r="F272" s="4"/>
      <c r="G272" s="4"/>
      <c r="H272" s="1" t="str">
        <f>IF(Details!$B279="","",Details!$B279)</f>
        <v/>
      </c>
      <c r="I272" s="1" t="str">
        <f>IF(H272="","",Details!$F279)</f>
        <v/>
      </c>
      <c r="J272" s="1" t="str">
        <f>IF(H272="","",Details!$E279)</f>
        <v/>
      </c>
      <c r="K272" s="1" t="str">
        <f t="shared" si="3"/>
        <v/>
      </c>
    </row>
    <row r="273" ht="13.5" customHeight="1">
      <c r="A273" s="4"/>
      <c r="B273" s="4"/>
      <c r="C273" s="4"/>
      <c r="D273" s="4"/>
      <c r="E273" s="4"/>
      <c r="F273" s="4"/>
      <c r="G273" s="4"/>
      <c r="H273" s="1" t="str">
        <f>IF(Details!$B280="","",Details!$B280)</f>
        <v/>
      </c>
      <c r="I273" s="1" t="str">
        <f>IF(H273="","",Details!$F280)</f>
        <v/>
      </c>
      <c r="J273" s="1" t="str">
        <f>IF(H273="","",Details!$E280)</f>
        <v/>
      </c>
      <c r="K273" s="1" t="str">
        <f t="shared" si="3"/>
        <v/>
      </c>
    </row>
    <row r="274" ht="13.5" customHeight="1">
      <c r="A274" s="4"/>
      <c r="B274" s="4"/>
      <c r="C274" s="4"/>
      <c r="D274" s="4"/>
      <c r="E274" s="4"/>
      <c r="F274" s="4"/>
      <c r="G274" s="4"/>
      <c r="H274" s="1" t="str">
        <f>IF(Details!$B281="","",Details!$B281)</f>
        <v/>
      </c>
      <c r="I274" s="1" t="str">
        <f>IF(H274="","",Details!$F281)</f>
        <v/>
      </c>
      <c r="J274" s="1" t="str">
        <f>IF(H274="","",Details!$E281)</f>
        <v/>
      </c>
      <c r="K274" s="1" t="str">
        <f t="shared" si="3"/>
        <v/>
      </c>
    </row>
    <row r="275" ht="13.5" customHeight="1">
      <c r="A275" s="4"/>
      <c r="B275" s="4"/>
      <c r="C275" s="4"/>
      <c r="D275" s="4"/>
      <c r="E275" s="4"/>
      <c r="F275" s="4"/>
      <c r="G275" s="4"/>
      <c r="H275" s="1" t="str">
        <f>IF(Details!$B282="","",Details!$B282)</f>
        <v/>
      </c>
      <c r="I275" s="1" t="str">
        <f>IF(H275="","",Details!$F282)</f>
        <v/>
      </c>
      <c r="J275" s="1" t="str">
        <f>IF(H275="","",Details!$E282)</f>
        <v/>
      </c>
      <c r="K275" s="1" t="str">
        <f t="shared" si="3"/>
        <v/>
      </c>
    </row>
    <row r="276" ht="13.5" customHeight="1">
      <c r="A276" s="4"/>
      <c r="B276" s="4"/>
      <c r="C276" s="4"/>
      <c r="D276" s="4"/>
      <c r="E276" s="4"/>
      <c r="F276" s="4"/>
      <c r="G276" s="4"/>
      <c r="H276" s="1" t="str">
        <f>IF(Details!$B283="","",Details!$B283)</f>
        <v/>
      </c>
      <c r="I276" s="1" t="str">
        <f>IF(H276="","",Details!$F283)</f>
        <v/>
      </c>
      <c r="J276" s="1" t="str">
        <f>IF(H276="","",Details!$E283)</f>
        <v/>
      </c>
      <c r="K276" s="1" t="str">
        <f t="shared" si="3"/>
        <v/>
      </c>
    </row>
    <row r="277" ht="13.5" customHeight="1">
      <c r="A277" s="4"/>
      <c r="B277" s="4"/>
      <c r="C277" s="4"/>
      <c r="D277" s="4"/>
      <c r="E277" s="4"/>
      <c r="F277" s="4"/>
      <c r="G277" s="4"/>
      <c r="H277" s="1" t="str">
        <f>IF(Details!$B284="","",Details!$B284)</f>
        <v/>
      </c>
      <c r="I277" s="1" t="str">
        <f>IF(H277="","",Details!$F284)</f>
        <v/>
      </c>
      <c r="J277" s="1" t="str">
        <f>IF(H277="","",Details!$E284)</f>
        <v/>
      </c>
      <c r="K277" s="1" t="str">
        <f t="shared" si="3"/>
        <v/>
      </c>
    </row>
    <row r="278" ht="13.5" customHeight="1">
      <c r="A278" s="4"/>
      <c r="B278" s="4"/>
      <c r="C278" s="4"/>
      <c r="D278" s="4"/>
      <c r="E278" s="4"/>
      <c r="F278" s="4"/>
      <c r="G278" s="4"/>
      <c r="H278" s="1" t="str">
        <f>IF(Details!$B285="","",Details!$B285)</f>
        <v/>
      </c>
      <c r="I278" s="1" t="str">
        <f>IF(H278="","",Details!$F285)</f>
        <v/>
      </c>
      <c r="J278" s="1" t="str">
        <f>IF(H278="","",Details!$E285)</f>
        <v/>
      </c>
      <c r="K278" s="1" t="str">
        <f t="shared" si="3"/>
        <v/>
      </c>
    </row>
    <row r="279" ht="13.5" customHeight="1">
      <c r="A279" s="4"/>
      <c r="B279" s="4"/>
      <c r="C279" s="4"/>
      <c r="D279" s="4"/>
      <c r="E279" s="4"/>
      <c r="F279" s="4"/>
      <c r="G279" s="4"/>
      <c r="H279" s="1" t="str">
        <f>IF(Details!$B286="","",Details!$B286)</f>
        <v/>
      </c>
      <c r="I279" s="1" t="str">
        <f>IF(H279="","",Details!$F286)</f>
        <v/>
      </c>
      <c r="J279" s="1" t="str">
        <f>IF(H279="","",Details!$E286)</f>
        <v/>
      </c>
      <c r="K279" s="1" t="str">
        <f t="shared" si="3"/>
        <v/>
      </c>
    </row>
    <row r="280" ht="13.5" customHeight="1">
      <c r="A280" s="4"/>
      <c r="B280" s="4"/>
      <c r="C280" s="4"/>
      <c r="D280" s="4"/>
      <c r="E280" s="4"/>
      <c r="F280" s="4"/>
      <c r="G280" s="4"/>
      <c r="H280" s="1" t="str">
        <f>IF(Details!$B287="","",Details!$B287)</f>
        <v/>
      </c>
      <c r="I280" s="1" t="str">
        <f>IF(H280="","",Details!$F287)</f>
        <v/>
      </c>
      <c r="J280" s="1" t="str">
        <f>IF(H280="","",Details!$E287)</f>
        <v/>
      </c>
      <c r="K280" s="1" t="str">
        <f t="shared" si="3"/>
        <v/>
      </c>
    </row>
    <row r="281" ht="13.5" customHeight="1">
      <c r="A281" s="4"/>
      <c r="B281" s="4"/>
      <c r="C281" s="4"/>
      <c r="D281" s="4"/>
      <c r="E281" s="4"/>
      <c r="F281" s="4"/>
      <c r="G281" s="4"/>
      <c r="H281" s="1" t="str">
        <f>IF(Details!$B288="","",Details!$B288)</f>
        <v/>
      </c>
      <c r="I281" s="1" t="str">
        <f>IF(H281="","",Details!$F288)</f>
        <v/>
      </c>
      <c r="J281" s="1" t="str">
        <f>IF(H281="","",Details!$E288)</f>
        <v/>
      </c>
      <c r="K281" s="1" t="str">
        <f t="shared" si="3"/>
        <v/>
      </c>
    </row>
    <row r="282" ht="13.5" customHeight="1">
      <c r="A282" s="4"/>
      <c r="B282" s="4"/>
      <c r="C282" s="4"/>
      <c r="D282" s="4"/>
      <c r="E282" s="4"/>
      <c r="F282" s="4"/>
      <c r="G282" s="4"/>
      <c r="H282" s="1" t="str">
        <f>IF(Details!$B289="","",Details!$B289)</f>
        <v/>
      </c>
      <c r="I282" s="1" t="str">
        <f>IF(H282="","",Details!$F289)</f>
        <v/>
      </c>
      <c r="J282" s="1" t="str">
        <f>IF(H282="","",Details!$E289)</f>
        <v/>
      </c>
      <c r="K282" s="1" t="str">
        <f t="shared" si="3"/>
        <v/>
      </c>
    </row>
    <row r="283" ht="13.5" customHeight="1">
      <c r="A283" s="4"/>
      <c r="B283" s="4"/>
      <c r="C283" s="4"/>
      <c r="D283" s="4"/>
      <c r="E283" s="4"/>
      <c r="F283" s="4"/>
      <c r="G283" s="4"/>
      <c r="H283" s="1" t="str">
        <f>IF(Details!$B290="","",Details!$B290)</f>
        <v/>
      </c>
      <c r="I283" s="1" t="str">
        <f>IF(H283="","",Details!$F290)</f>
        <v/>
      </c>
      <c r="J283" s="1" t="str">
        <f>IF(H283="","",Details!$E290)</f>
        <v/>
      </c>
      <c r="K283" s="1" t="str">
        <f t="shared" si="3"/>
        <v/>
      </c>
    </row>
    <row r="284" ht="13.5" customHeight="1">
      <c r="A284" s="4"/>
      <c r="B284" s="4"/>
      <c r="C284" s="4"/>
      <c r="D284" s="4"/>
      <c r="E284" s="4"/>
      <c r="F284" s="4"/>
      <c r="G284" s="4"/>
      <c r="H284" s="1" t="str">
        <f>IF(Details!$B291="","",Details!$B291)</f>
        <v/>
      </c>
      <c r="I284" s="1" t="str">
        <f>IF(H284="","",Details!$F291)</f>
        <v/>
      </c>
      <c r="J284" s="1" t="str">
        <f>IF(H284="","",Details!$E291)</f>
        <v/>
      </c>
      <c r="K284" s="1" t="str">
        <f t="shared" si="3"/>
        <v/>
      </c>
    </row>
    <row r="285" ht="13.5" customHeight="1">
      <c r="A285" s="4"/>
      <c r="B285" s="4"/>
      <c r="C285" s="4"/>
      <c r="D285" s="4"/>
      <c r="E285" s="4"/>
      <c r="F285" s="4"/>
      <c r="G285" s="4"/>
      <c r="H285" s="1" t="str">
        <f>IF(Details!$B292="","",Details!$B292)</f>
        <v/>
      </c>
      <c r="I285" s="1" t="str">
        <f>IF(H285="","",Details!$F292)</f>
        <v/>
      </c>
      <c r="J285" s="1" t="str">
        <f>IF(H285="","",Details!$E292)</f>
        <v/>
      </c>
      <c r="K285" s="1" t="str">
        <f t="shared" si="3"/>
        <v/>
      </c>
    </row>
    <row r="286" ht="13.5" customHeight="1">
      <c r="A286" s="4"/>
      <c r="B286" s="4"/>
      <c r="C286" s="4"/>
      <c r="D286" s="4"/>
      <c r="E286" s="4"/>
      <c r="F286" s="4"/>
      <c r="G286" s="4"/>
      <c r="H286" s="1" t="str">
        <f>IF(Details!$B293="","",Details!$B293)</f>
        <v/>
      </c>
      <c r="I286" s="1" t="str">
        <f>IF(H286="","",Details!$F293)</f>
        <v/>
      </c>
      <c r="J286" s="1" t="str">
        <f>IF(H286="","",Details!$E293)</f>
        <v/>
      </c>
      <c r="K286" s="1" t="str">
        <f t="shared" si="3"/>
        <v/>
      </c>
    </row>
    <row r="287" ht="13.5" customHeight="1">
      <c r="A287" s="4"/>
      <c r="B287" s="4"/>
      <c r="C287" s="4"/>
      <c r="D287" s="4"/>
      <c r="E287" s="4"/>
      <c r="F287" s="4"/>
      <c r="G287" s="4"/>
      <c r="H287" s="1" t="str">
        <f>IF(Details!$B294="","",Details!$B294)</f>
        <v/>
      </c>
      <c r="I287" s="1" t="str">
        <f>IF(H287="","",Details!$F294)</f>
        <v/>
      </c>
      <c r="J287" s="1" t="str">
        <f>IF(H287="","",Details!$E294)</f>
        <v/>
      </c>
      <c r="K287" s="1" t="str">
        <f t="shared" si="3"/>
        <v/>
      </c>
    </row>
    <row r="288" ht="13.5" customHeight="1">
      <c r="A288" s="4"/>
      <c r="B288" s="4"/>
      <c r="C288" s="4"/>
      <c r="D288" s="4"/>
      <c r="E288" s="4"/>
      <c r="F288" s="4"/>
      <c r="G288" s="4"/>
      <c r="H288" s="1" t="str">
        <f>IF(Details!$B295="","",Details!$B295)</f>
        <v/>
      </c>
      <c r="I288" s="1" t="str">
        <f>IF(H288="","",Details!$F295)</f>
        <v/>
      </c>
      <c r="J288" s="1" t="str">
        <f>IF(H288="","",Details!$E295)</f>
        <v/>
      </c>
      <c r="K288" s="1" t="str">
        <f t="shared" si="3"/>
        <v/>
      </c>
    </row>
    <row r="289" ht="13.5" customHeight="1">
      <c r="A289" s="4"/>
      <c r="B289" s="4"/>
      <c r="C289" s="4"/>
      <c r="D289" s="4"/>
      <c r="E289" s="4"/>
      <c r="F289" s="4"/>
      <c r="G289" s="4"/>
      <c r="H289" s="1" t="str">
        <f>IF(Details!$B296="","",Details!$B296)</f>
        <v/>
      </c>
      <c r="I289" s="1" t="str">
        <f>IF(H289="","",Details!$F296)</f>
        <v/>
      </c>
      <c r="J289" s="1" t="str">
        <f>IF(H289="","",Details!$E296)</f>
        <v/>
      </c>
      <c r="K289" s="1" t="str">
        <f t="shared" si="3"/>
        <v/>
      </c>
    </row>
    <row r="290" ht="13.5" customHeight="1">
      <c r="A290" s="4"/>
      <c r="B290" s="4"/>
      <c r="C290" s="4"/>
      <c r="D290" s="4"/>
      <c r="E290" s="4"/>
      <c r="F290" s="4"/>
      <c r="G290" s="4"/>
      <c r="H290" s="1" t="str">
        <f>IF(Details!$B297="","",Details!$B297)</f>
        <v/>
      </c>
      <c r="I290" s="1" t="str">
        <f>IF(H290="","",Details!$F297)</f>
        <v/>
      </c>
      <c r="J290" s="1" t="str">
        <f>IF(H290="","",Details!$E297)</f>
        <v/>
      </c>
      <c r="K290" s="1" t="str">
        <f t="shared" si="3"/>
        <v/>
      </c>
    </row>
    <row r="291" ht="13.5" customHeight="1">
      <c r="A291" s="4"/>
      <c r="B291" s="4"/>
      <c r="C291" s="4"/>
      <c r="D291" s="4"/>
      <c r="E291" s="4"/>
      <c r="F291" s="4"/>
      <c r="G291" s="4"/>
      <c r="H291" s="1" t="str">
        <f>IF(Details!$B298="","",Details!$B298)</f>
        <v/>
      </c>
      <c r="I291" s="1" t="str">
        <f>IF(H291="","",Details!$F298)</f>
        <v/>
      </c>
      <c r="J291" s="1" t="str">
        <f>IF(H291="","",Details!$E298)</f>
        <v/>
      </c>
      <c r="K291" s="1" t="str">
        <f t="shared" si="3"/>
        <v/>
      </c>
    </row>
    <row r="292" ht="13.5" customHeight="1">
      <c r="A292" s="4"/>
      <c r="B292" s="4"/>
      <c r="C292" s="4"/>
      <c r="D292" s="4"/>
      <c r="E292" s="4"/>
      <c r="F292" s="4"/>
      <c r="G292" s="4"/>
      <c r="H292" s="1" t="str">
        <f>IF(Details!$B299="","",Details!$B299)</f>
        <v/>
      </c>
      <c r="I292" s="1" t="str">
        <f>IF(H292="","",Details!$F299)</f>
        <v/>
      </c>
      <c r="J292" s="1" t="str">
        <f>IF(H292="","",Details!$E299)</f>
        <v/>
      </c>
      <c r="K292" s="1" t="str">
        <f t="shared" si="3"/>
        <v/>
      </c>
    </row>
    <row r="293" ht="13.5" customHeight="1">
      <c r="A293" s="4"/>
      <c r="B293" s="4"/>
      <c r="C293" s="4"/>
      <c r="D293" s="4"/>
      <c r="E293" s="4"/>
      <c r="F293" s="4"/>
      <c r="G293" s="4"/>
      <c r="H293" s="1" t="str">
        <f>IF(Details!$B300="","",Details!$B300)</f>
        <v/>
      </c>
      <c r="I293" s="1" t="str">
        <f>IF(H293="","",Details!$F300)</f>
        <v/>
      </c>
      <c r="J293" s="1" t="str">
        <f>IF(H293="","",Details!$E300)</f>
        <v/>
      </c>
      <c r="K293" s="1" t="str">
        <f t="shared" si="3"/>
        <v/>
      </c>
    </row>
    <row r="294" ht="13.5" customHeight="1">
      <c r="A294" s="4"/>
      <c r="B294" s="4"/>
      <c r="C294" s="4"/>
      <c r="D294" s="4"/>
      <c r="E294" s="4"/>
      <c r="F294" s="4"/>
      <c r="G294" s="4"/>
      <c r="H294" s="1" t="str">
        <f>IF(Details!$B301="","",Details!$B301)</f>
        <v/>
      </c>
      <c r="I294" s="1" t="str">
        <f>IF(H294="","",Details!$F301)</f>
        <v/>
      </c>
      <c r="J294" s="1" t="str">
        <f>IF(H294="","",Details!$E301)</f>
        <v/>
      </c>
      <c r="K294" s="1" t="str">
        <f t="shared" si="3"/>
        <v/>
      </c>
    </row>
    <row r="295" ht="13.5" customHeight="1">
      <c r="A295" s="4"/>
      <c r="B295" s="4"/>
      <c r="C295" s="4"/>
      <c r="D295" s="4"/>
      <c r="E295" s="4"/>
      <c r="F295" s="4"/>
      <c r="G295" s="4"/>
      <c r="H295" s="1" t="str">
        <f>IF(Details!$B302="","",Details!$B302)</f>
        <v/>
      </c>
      <c r="I295" s="1" t="str">
        <f>IF(H295="","",Details!$F302)</f>
        <v/>
      </c>
      <c r="J295" s="1" t="str">
        <f>IF(H295="","",Details!$E302)</f>
        <v/>
      </c>
      <c r="K295" s="1" t="str">
        <f t="shared" si="3"/>
        <v/>
      </c>
    </row>
    <row r="296" ht="13.5" customHeight="1">
      <c r="A296" s="4"/>
      <c r="B296" s="4"/>
      <c r="C296" s="4"/>
      <c r="D296" s="4"/>
      <c r="E296" s="4"/>
      <c r="F296" s="4"/>
      <c r="G296" s="4"/>
      <c r="H296" s="1" t="str">
        <f>IF(Details!$B303="","",Details!$B303)</f>
        <v/>
      </c>
      <c r="I296" s="1" t="str">
        <f>IF(H296="","",Details!$F303)</f>
        <v/>
      </c>
      <c r="J296" s="1" t="str">
        <f>IF(H296="","",Details!$E303)</f>
        <v/>
      </c>
      <c r="K296" s="1" t="str">
        <f t="shared" si="3"/>
        <v/>
      </c>
    </row>
    <row r="297" ht="13.5" customHeight="1">
      <c r="A297" s="4"/>
      <c r="B297" s="4"/>
      <c r="C297" s="4"/>
      <c r="D297" s="4"/>
      <c r="E297" s="4"/>
      <c r="F297" s="4"/>
      <c r="G297" s="4"/>
      <c r="H297" s="1" t="str">
        <f>IF(Details!$B304="","",Details!$B304)</f>
        <v/>
      </c>
      <c r="I297" s="1" t="str">
        <f>IF(H297="","",Details!$F304)</f>
        <v/>
      </c>
      <c r="J297" s="1" t="str">
        <f>IF(H297="","",Details!$E304)</f>
        <v/>
      </c>
      <c r="K297" s="1" t="str">
        <f t="shared" si="3"/>
        <v/>
      </c>
    </row>
    <row r="298" ht="13.5" customHeight="1">
      <c r="A298" s="4"/>
      <c r="B298" s="4"/>
      <c r="C298" s="4"/>
      <c r="D298" s="4"/>
      <c r="E298" s="4"/>
      <c r="F298" s="4"/>
      <c r="G298" s="4"/>
      <c r="H298" s="1" t="str">
        <f>IF(Details!$B305="","",Details!$B305)</f>
        <v/>
      </c>
      <c r="I298" s="1" t="str">
        <f>IF(H298="","",Details!$F305)</f>
        <v/>
      </c>
      <c r="J298" s="1" t="str">
        <f>IF(H298="","",Details!$E305)</f>
        <v/>
      </c>
      <c r="K298" s="1" t="str">
        <f t="shared" si="3"/>
        <v/>
      </c>
    </row>
    <row r="299" ht="13.5" customHeight="1">
      <c r="A299" s="4"/>
      <c r="B299" s="4"/>
      <c r="C299" s="4"/>
      <c r="D299" s="4"/>
      <c r="E299" s="4"/>
      <c r="F299" s="4"/>
      <c r="G299" s="4"/>
      <c r="H299" s="1" t="str">
        <f>IF(Details!$B306="","",Details!$B306)</f>
        <v/>
      </c>
      <c r="I299" s="1" t="str">
        <f>IF(H299="","",Details!$F306)</f>
        <v/>
      </c>
      <c r="J299" s="1" t="str">
        <f>IF(H299="","",Details!$E306)</f>
        <v/>
      </c>
      <c r="K299" s="1" t="str">
        <f t="shared" si="3"/>
        <v/>
      </c>
    </row>
    <row r="300" ht="13.5" customHeight="1">
      <c r="A300" s="4"/>
      <c r="B300" s="4"/>
      <c r="C300" s="4"/>
      <c r="D300" s="4"/>
      <c r="E300" s="4"/>
      <c r="F300" s="4"/>
      <c r="G300" s="4"/>
      <c r="H300" s="1" t="str">
        <f>IF(Details!$B307="","",Details!$B307)</f>
        <v/>
      </c>
      <c r="I300" s="1" t="str">
        <f>IF(H300="","",Details!$F307)</f>
        <v/>
      </c>
      <c r="J300" s="1" t="str">
        <f>IF(H300="","",Details!$E307)</f>
        <v/>
      </c>
      <c r="K300" s="1" t="str">
        <f t="shared" si="3"/>
        <v/>
      </c>
    </row>
    <row r="301" ht="13.5" customHeight="1">
      <c r="A301" s="4"/>
      <c r="B301" s="4"/>
      <c r="C301" s="4"/>
      <c r="D301" s="4"/>
      <c r="E301" s="4"/>
      <c r="F301" s="4"/>
      <c r="G301" s="4"/>
      <c r="H301" s="1" t="str">
        <f>IF(Details!$B308="","",Details!$B308)</f>
        <v/>
      </c>
      <c r="I301" s="1" t="str">
        <f>IF(H301="","",Details!$F308)</f>
        <v/>
      </c>
      <c r="J301" s="1" t="str">
        <f>IF(H301="","",Details!$E308)</f>
        <v/>
      </c>
      <c r="K301" s="1" t="str">
        <f t="shared" si="3"/>
        <v/>
      </c>
    </row>
    <row r="302" ht="13.5" customHeight="1">
      <c r="A302" s="4"/>
      <c r="B302" s="4"/>
      <c r="C302" s="4"/>
      <c r="D302" s="4"/>
      <c r="E302" s="4"/>
      <c r="F302" s="4"/>
      <c r="G302" s="4"/>
      <c r="H302" s="1" t="str">
        <f>IF(Details!$B309="","",Details!$B309)</f>
        <v/>
      </c>
      <c r="I302" s="1" t="str">
        <f>IF(H302="","",Details!$F309)</f>
        <v/>
      </c>
      <c r="J302" s="1" t="str">
        <f>IF(H302="","",Details!$E309)</f>
        <v/>
      </c>
      <c r="K302" s="1" t="str">
        <f t="shared" si="3"/>
        <v/>
      </c>
    </row>
    <row r="303" ht="13.5" customHeight="1">
      <c r="A303" s="4"/>
      <c r="B303" s="4"/>
      <c r="C303" s="4"/>
      <c r="D303" s="4"/>
      <c r="E303" s="4"/>
      <c r="F303" s="4"/>
      <c r="G303" s="4"/>
      <c r="H303" s="1" t="str">
        <f>IF(Details!$B310="","",Details!$B310)</f>
        <v/>
      </c>
      <c r="I303" s="1" t="str">
        <f>IF(H303="","",Details!$F310)</f>
        <v/>
      </c>
      <c r="J303" s="1" t="str">
        <f>IF(H303="","",Details!$E310)</f>
        <v/>
      </c>
      <c r="K303" s="1" t="str">
        <f t="shared" si="3"/>
        <v/>
      </c>
    </row>
    <row r="304" ht="13.5" customHeight="1">
      <c r="A304" s="4"/>
      <c r="B304" s="4"/>
      <c r="C304" s="4"/>
      <c r="D304" s="4"/>
      <c r="E304" s="4"/>
      <c r="F304" s="4"/>
      <c r="G304" s="4"/>
      <c r="H304" s="1" t="str">
        <f>IF(Details!$B311="","",Details!$B311)</f>
        <v/>
      </c>
      <c r="I304" s="1" t="str">
        <f>IF(H304="","",Details!$F311)</f>
        <v/>
      </c>
      <c r="J304" s="1" t="str">
        <f>IF(H304="","",Details!$E311)</f>
        <v/>
      </c>
      <c r="K304" s="1" t="str">
        <f t="shared" si="3"/>
        <v/>
      </c>
    </row>
    <row r="305" ht="13.5" customHeight="1">
      <c r="A305" s="4"/>
      <c r="B305" s="4"/>
      <c r="C305" s="4"/>
      <c r="D305" s="4"/>
      <c r="E305" s="4"/>
      <c r="F305" s="4"/>
      <c r="G305" s="4"/>
      <c r="H305" s="1" t="str">
        <f>IF(Details!$B312="","",Details!$B312)</f>
        <v/>
      </c>
      <c r="I305" s="1" t="str">
        <f>IF(H305="","",Details!$F312)</f>
        <v/>
      </c>
      <c r="J305" s="1" t="str">
        <f>IF(H305="","",Details!$E312)</f>
        <v/>
      </c>
      <c r="K305" s="1" t="str">
        <f t="shared" si="3"/>
        <v/>
      </c>
    </row>
    <row r="306" ht="13.5" customHeight="1">
      <c r="A306" s="4"/>
      <c r="B306" s="4"/>
      <c r="C306" s="4"/>
      <c r="D306" s="4"/>
      <c r="E306" s="4"/>
      <c r="F306" s="4"/>
      <c r="G306" s="4"/>
      <c r="H306" s="1" t="str">
        <f>IF(Details!$B313="","",Details!$B313)</f>
        <v/>
      </c>
      <c r="I306" s="1" t="str">
        <f>IF(H306="","",Details!$F313)</f>
        <v/>
      </c>
      <c r="J306" s="1" t="str">
        <f>IF(H306="","",Details!$E313)</f>
        <v/>
      </c>
      <c r="K306" s="1" t="str">
        <f t="shared" si="3"/>
        <v/>
      </c>
    </row>
    <row r="307" ht="13.5" customHeight="1">
      <c r="A307" s="4"/>
      <c r="B307" s="4"/>
      <c r="C307" s="4"/>
      <c r="D307" s="4"/>
      <c r="E307" s="4"/>
      <c r="F307" s="4"/>
      <c r="G307" s="4"/>
      <c r="H307" s="1" t="str">
        <f>IF(Details!$B314="","",Details!$B314)</f>
        <v/>
      </c>
      <c r="I307" s="1" t="str">
        <f>IF(H307="","",Details!$F314)</f>
        <v/>
      </c>
      <c r="J307" s="1" t="str">
        <f>IF(H307="","",Details!$E314)</f>
        <v/>
      </c>
      <c r="K307" s="1" t="str">
        <f t="shared" si="3"/>
        <v/>
      </c>
    </row>
    <row r="308" ht="13.5" customHeight="1">
      <c r="A308" s="4"/>
      <c r="B308" s="4"/>
      <c r="C308" s="4"/>
      <c r="D308" s="4"/>
      <c r="E308" s="4"/>
      <c r="F308" s="4"/>
      <c r="G308" s="4"/>
      <c r="H308" s="1" t="str">
        <f>IF(Details!$B315="","",Details!$B315)</f>
        <v/>
      </c>
      <c r="I308" s="1" t="str">
        <f>IF(H308="","",Details!$F315)</f>
        <v/>
      </c>
      <c r="J308" s="1" t="str">
        <f>IF(H308="","",Details!$E315)</f>
        <v/>
      </c>
      <c r="K308" s="1" t="str">
        <f t="shared" si="3"/>
        <v/>
      </c>
    </row>
    <row r="309" ht="13.5" customHeight="1">
      <c r="A309" s="4"/>
      <c r="B309" s="4"/>
      <c r="C309" s="4"/>
      <c r="D309" s="4"/>
      <c r="E309" s="4"/>
      <c r="F309" s="4"/>
      <c r="G309" s="4"/>
      <c r="H309" s="1" t="str">
        <f>IF(Details!$B316="","",Details!$B316)</f>
        <v/>
      </c>
      <c r="I309" s="1" t="str">
        <f>IF(H309="","",Details!$F316)</f>
        <v/>
      </c>
      <c r="J309" s="1" t="str">
        <f>IF(H309="","",Details!$E316)</f>
        <v/>
      </c>
      <c r="K309" s="1" t="str">
        <f t="shared" si="3"/>
        <v/>
      </c>
    </row>
    <row r="310" ht="13.5" customHeight="1">
      <c r="A310" s="4"/>
      <c r="B310" s="4"/>
      <c r="C310" s="4"/>
      <c r="D310" s="4"/>
      <c r="E310" s="4"/>
      <c r="F310" s="4"/>
      <c r="G310" s="4"/>
      <c r="H310" s="1" t="str">
        <f>IF(Details!$B317="","",Details!$B317)</f>
        <v/>
      </c>
      <c r="I310" s="1" t="str">
        <f>IF(H310="","",Details!$F317)</f>
        <v/>
      </c>
      <c r="J310" s="1" t="str">
        <f>IF(H310="","",Details!$E317)</f>
        <v/>
      </c>
      <c r="K310" s="1" t="str">
        <f t="shared" si="3"/>
        <v/>
      </c>
    </row>
    <row r="311" ht="13.5" customHeight="1">
      <c r="A311" s="4"/>
      <c r="B311" s="4"/>
      <c r="C311" s="4"/>
      <c r="D311" s="4"/>
      <c r="E311" s="4"/>
      <c r="F311" s="4"/>
      <c r="G311" s="4"/>
      <c r="H311" s="1" t="str">
        <f>IF(Details!$B318="","",Details!$B318)</f>
        <v/>
      </c>
      <c r="I311" s="1" t="str">
        <f>IF(H311="","",Details!$F318)</f>
        <v/>
      </c>
      <c r="J311" s="1" t="str">
        <f>IF(H311="","",Details!$E318)</f>
        <v/>
      </c>
      <c r="K311" s="1" t="str">
        <f t="shared" si="3"/>
        <v/>
      </c>
    </row>
    <row r="312" ht="13.5" customHeight="1">
      <c r="A312" s="4"/>
      <c r="B312" s="4"/>
      <c r="C312" s="4"/>
      <c r="D312" s="4"/>
      <c r="E312" s="4"/>
      <c r="F312" s="4"/>
      <c r="G312" s="4"/>
      <c r="H312" s="1" t="str">
        <f>IF(Details!$B319="","",Details!$B319)</f>
        <v/>
      </c>
      <c r="I312" s="1" t="str">
        <f>IF(H312="","",Details!$F319)</f>
        <v/>
      </c>
      <c r="J312" s="1" t="str">
        <f>IF(H312="","",Details!$E319)</f>
        <v/>
      </c>
      <c r="K312" s="1" t="str">
        <f t="shared" si="3"/>
        <v/>
      </c>
    </row>
    <row r="313" ht="13.5" customHeight="1">
      <c r="A313" s="4"/>
      <c r="B313" s="4"/>
      <c r="C313" s="4"/>
      <c r="D313" s="4"/>
      <c r="E313" s="4"/>
      <c r="F313" s="4"/>
      <c r="G313" s="4"/>
      <c r="H313" s="1" t="str">
        <f>IF(Details!$B320="","",Details!$B320)</f>
        <v/>
      </c>
      <c r="I313" s="1" t="str">
        <f>IF(H313="","",Details!$F320)</f>
        <v/>
      </c>
      <c r="J313" s="1" t="str">
        <f>IF(H313="","",Details!$E320)</f>
        <v/>
      </c>
      <c r="K313" s="1" t="str">
        <f t="shared" si="3"/>
        <v/>
      </c>
    </row>
    <row r="314" ht="13.5" customHeight="1">
      <c r="A314" s="4"/>
      <c r="B314" s="4"/>
      <c r="C314" s="4"/>
      <c r="D314" s="4"/>
      <c r="E314" s="4"/>
      <c r="F314" s="4"/>
      <c r="G314" s="4"/>
      <c r="H314" s="1" t="str">
        <f>IF(Details!$B321="","",Details!$B321)</f>
        <v/>
      </c>
      <c r="I314" s="1" t="str">
        <f>IF(H314="","",Details!$F321)</f>
        <v/>
      </c>
      <c r="J314" s="1" t="str">
        <f>IF(H314="","",Details!$E321)</f>
        <v/>
      </c>
      <c r="K314" s="1" t="str">
        <f t="shared" si="3"/>
        <v/>
      </c>
    </row>
    <row r="315" ht="13.5" customHeight="1">
      <c r="A315" s="4"/>
      <c r="B315" s="4"/>
      <c r="C315" s="4"/>
      <c r="D315" s="4"/>
      <c r="E315" s="4"/>
      <c r="F315" s="4"/>
      <c r="G315" s="4"/>
      <c r="H315" s="1" t="str">
        <f>IF(Details!$B322="","",Details!$B322)</f>
        <v/>
      </c>
      <c r="I315" s="1" t="str">
        <f>IF(H315="","",Details!$F322)</f>
        <v/>
      </c>
      <c r="J315" s="1" t="str">
        <f>IF(H315="","",Details!$E322)</f>
        <v/>
      </c>
      <c r="K315" s="1" t="str">
        <f t="shared" si="3"/>
        <v/>
      </c>
    </row>
    <row r="316" ht="13.5" customHeight="1">
      <c r="A316" s="4"/>
      <c r="B316" s="4"/>
      <c r="C316" s="4"/>
      <c r="D316" s="4"/>
      <c r="E316" s="4"/>
      <c r="F316" s="4"/>
      <c r="G316" s="4"/>
      <c r="H316" s="1" t="str">
        <f>IF(Details!$B323="","",Details!$B323)</f>
        <v/>
      </c>
      <c r="I316" s="1" t="str">
        <f>IF(H316="","",Details!$F323)</f>
        <v/>
      </c>
      <c r="J316" s="1" t="str">
        <f>IF(H316="","",Details!$E323)</f>
        <v/>
      </c>
      <c r="K316" s="1" t="str">
        <f t="shared" si="3"/>
        <v/>
      </c>
    </row>
    <row r="317" ht="13.5" customHeight="1">
      <c r="A317" s="4"/>
      <c r="B317" s="4"/>
      <c r="C317" s="4"/>
      <c r="D317" s="4"/>
      <c r="E317" s="4"/>
      <c r="F317" s="4"/>
      <c r="G317" s="4"/>
      <c r="H317" s="1" t="str">
        <f>IF(Details!$B324="","",Details!$B324)</f>
        <v/>
      </c>
      <c r="I317" s="1" t="str">
        <f>IF(H317="","",Details!$F324)</f>
        <v/>
      </c>
      <c r="J317" s="1" t="str">
        <f>IF(H317="","",Details!$E324)</f>
        <v/>
      </c>
      <c r="K317" s="1" t="str">
        <f t="shared" si="3"/>
        <v/>
      </c>
    </row>
    <row r="318" ht="13.5" customHeight="1">
      <c r="A318" s="4"/>
      <c r="B318" s="4"/>
      <c r="C318" s="4"/>
      <c r="D318" s="4"/>
      <c r="E318" s="4"/>
      <c r="F318" s="4"/>
      <c r="G318" s="4"/>
      <c r="H318" s="1" t="str">
        <f>IF(Details!$B325="","",Details!$B325)</f>
        <v/>
      </c>
      <c r="I318" s="1" t="str">
        <f>IF(H318="","",Details!$F325)</f>
        <v/>
      </c>
      <c r="J318" s="1" t="str">
        <f>IF(H318="","",Details!$E325)</f>
        <v/>
      </c>
      <c r="K318" s="1" t="str">
        <f t="shared" si="3"/>
        <v/>
      </c>
    </row>
    <row r="319" ht="13.5" customHeight="1">
      <c r="A319" s="4"/>
      <c r="B319" s="4"/>
      <c r="C319" s="4"/>
      <c r="D319" s="4"/>
      <c r="E319" s="4"/>
      <c r="F319" s="4"/>
      <c r="G319" s="4"/>
      <c r="H319" s="1" t="str">
        <f>IF(Details!$B326="","",Details!$B326)</f>
        <v/>
      </c>
      <c r="I319" s="1" t="str">
        <f>IF(H319="","",Details!$F326)</f>
        <v/>
      </c>
      <c r="J319" s="1" t="str">
        <f>IF(H319="","",Details!$E326)</f>
        <v/>
      </c>
      <c r="K319" s="1" t="str">
        <f t="shared" si="3"/>
        <v/>
      </c>
    </row>
    <row r="320" ht="13.5" customHeight="1">
      <c r="A320" s="4"/>
      <c r="B320" s="4"/>
      <c r="C320" s="4"/>
      <c r="D320" s="4"/>
      <c r="E320" s="4"/>
      <c r="F320" s="4"/>
      <c r="G320" s="4"/>
      <c r="H320" s="1" t="str">
        <f>IF(Details!$B327="","",Details!$B327)</f>
        <v/>
      </c>
      <c r="I320" s="1" t="str">
        <f>IF(H320="","",Details!$F327)</f>
        <v/>
      </c>
      <c r="J320" s="1" t="str">
        <f>IF(H320="","",Details!$E327)</f>
        <v/>
      </c>
      <c r="K320" s="1" t="str">
        <f t="shared" si="3"/>
        <v/>
      </c>
    </row>
    <row r="321" ht="13.5" customHeight="1">
      <c r="A321" s="4"/>
      <c r="B321" s="4"/>
      <c r="C321" s="4"/>
      <c r="D321" s="4"/>
      <c r="E321" s="4"/>
      <c r="F321" s="4"/>
      <c r="G321" s="4"/>
      <c r="H321" s="1" t="str">
        <f>IF(Details!$B328="","",Details!$B328)</f>
        <v/>
      </c>
      <c r="I321" s="1" t="str">
        <f>IF(H321="","",Details!$F328)</f>
        <v/>
      </c>
      <c r="J321" s="1" t="str">
        <f>IF(H321="","",Details!$E328)</f>
        <v/>
      </c>
      <c r="K321" s="1" t="str">
        <f t="shared" si="3"/>
        <v/>
      </c>
    </row>
    <row r="322" ht="13.5" customHeight="1">
      <c r="A322" s="4"/>
      <c r="B322" s="4"/>
      <c r="C322" s="4"/>
      <c r="D322" s="4"/>
      <c r="E322" s="4"/>
      <c r="F322" s="4"/>
      <c r="G322" s="4"/>
      <c r="H322" s="1" t="str">
        <f>IF(Details!$B329="","",Details!$B329)</f>
        <v/>
      </c>
      <c r="I322" s="1" t="str">
        <f>IF(H322="","",Details!$F329)</f>
        <v/>
      </c>
      <c r="J322" s="1" t="str">
        <f>IF(H322="","",Details!$E329)</f>
        <v/>
      </c>
      <c r="K322" s="1" t="str">
        <f t="shared" si="3"/>
        <v/>
      </c>
    </row>
    <row r="323" ht="13.5" customHeight="1">
      <c r="A323" s="4"/>
      <c r="B323" s="4"/>
      <c r="C323" s="4"/>
      <c r="D323" s="4"/>
      <c r="E323" s="4"/>
      <c r="F323" s="4"/>
      <c r="G323" s="4"/>
      <c r="H323" s="1" t="str">
        <f>IF(Details!$B330="","",Details!$B330)</f>
        <v/>
      </c>
      <c r="I323" s="1" t="str">
        <f>IF(H323="","",Details!$F330)</f>
        <v/>
      </c>
      <c r="J323" s="1" t="str">
        <f>IF(H323="","",Details!$E330)</f>
        <v/>
      </c>
      <c r="K323" s="1" t="str">
        <f t="shared" si="3"/>
        <v/>
      </c>
    </row>
    <row r="324" ht="13.5" customHeight="1">
      <c r="A324" s="4"/>
      <c r="B324" s="4"/>
      <c r="C324" s="4"/>
      <c r="D324" s="4"/>
      <c r="E324" s="4"/>
      <c r="F324" s="4"/>
      <c r="G324" s="4"/>
      <c r="H324" s="1" t="str">
        <f>IF(Details!$B331="","",Details!$B331)</f>
        <v/>
      </c>
      <c r="I324" s="1" t="str">
        <f>IF(H324="","",Details!$F331)</f>
        <v/>
      </c>
      <c r="J324" s="1" t="str">
        <f>IF(H324="","",Details!$E331)</f>
        <v/>
      </c>
      <c r="K324" s="1" t="str">
        <f t="shared" si="3"/>
        <v/>
      </c>
    </row>
    <row r="325" ht="13.5" customHeight="1">
      <c r="A325" s="4"/>
      <c r="B325" s="4"/>
      <c r="C325" s="4"/>
      <c r="D325" s="4"/>
      <c r="E325" s="4"/>
      <c r="F325" s="4"/>
      <c r="G325" s="4"/>
      <c r="H325" s="1" t="str">
        <f>IF(Details!$B332="","",Details!$B332)</f>
        <v/>
      </c>
      <c r="I325" s="1" t="str">
        <f>IF(H325="","",Details!$F332)</f>
        <v/>
      </c>
      <c r="J325" s="1" t="str">
        <f>IF(H325="","",Details!$E332)</f>
        <v/>
      </c>
      <c r="K325" s="1" t="str">
        <f t="shared" si="3"/>
        <v/>
      </c>
    </row>
    <row r="326" ht="13.5" customHeight="1">
      <c r="A326" s="4"/>
      <c r="B326" s="4"/>
      <c r="C326" s="4"/>
      <c r="D326" s="4"/>
      <c r="E326" s="4"/>
      <c r="F326" s="4"/>
      <c r="G326" s="4"/>
      <c r="H326" s="1" t="str">
        <f>IF(Details!$B333="","",Details!$B333)</f>
        <v/>
      </c>
      <c r="I326" s="1" t="str">
        <f>IF(H326="","",Details!$F333)</f>
        <v/>
      </c>
      <c r="J326" s="1" t="str">
        <f>IF(H326="","",Details!$E333)</f>
        <v/>
      </c>
      <c r="K326" s="1" t="str">
        <f t="shared" si="3"/>
        <v/>
      </c>
    </row>
    <row r="327" ht="13.5" customHeight="1">
      <c r="A327" s="4"/>
      <c r="B327" s="4"/>
      <c r="C327" s="4"/>
      <c r="D327" s="4"/>
      <c r="E327" s="4"/>
      <c r="F327" s="4"/>
      <c r="G327" s="4"/>
      <c r="H327" s="1" t="str">
        <f>IF(Details!$B334="","",Details!$B334)</f>
        <v/>
      </c>
      <c r="I327" s="1" t="str">
        <f>IF(H327="","",Details!$F334)</f>
        <v/>
      </c>
      <c r="J327" s="1" t="str">
        <f>IF(H327="","",Details!$E334)</f>
        <v/>
      </c>
      <c r="K327" s="1" t="str">
        <f t="shared" si="3"/>
        <v/>
      </c>
    </row>
    <row r="328" ht="13.5" customHeight="1">
      <c r="A328" s="4"/>
      <c r="B328" s="4"/>
      <c r="C328" s="4"/>
      <c r="D328" s="4"/>
      <c r="E328" s="4"/>
      <c r="F328" s="4"/>
      <c r="G328" s="4"/>
      <c r="H328" s="1" t="str">
        <f>IF(Details!$B335="","",Details!$B335)</f>
        <v/>
      </c>
      <c r="I328" s="1" t="str">
        <f>IF(H328="","",Details!$F335)</f>
        <v/>
      </c>
      <c r="J328" s="1" t="str">
        <f>IF(H328="","",Details!$E335)</f>
        <v/>
      </c>
      <c r="K328" s="1" t="str">
        <f t="shared" si="3"/>
        <v/>
      </c>
    </row>
    <row r="329" ht="13.5" customHeight="1">
      <c r="A329" s="4"/>
      <c r="B329" s="4"/>
      <c r="C329" s="4"/>
      <c r="D329" s="4"/>
      <c r="E329" s="4"/>
      <c r="F329" s="4"/>
      <c r="G329" s="4"/>
      <c r="H329" s="1" t="str">
        <f>IF(Details!$B336="","",Details!$B336)</f>
        <v/>
      </c>
      <c r="I329" s="1" t="str">
        <f>IF(H329="","",Details!$F336)</f>
        <v/>
      </c>
      <c r="J329" s="1" t="str">
        <f>IF(H329="","",Details!$E336)</f>
        <v/>
      </c>
      <c r="K329" s="1" t="str">
        <f t="shared" si="3"/>
        <v/>
      </c>
    </row>
    <row r="330" ht="13.5" customHeight="1">
      <c r="A330" s="4"/>
      <c r="B330" s="4"/>
      <c r="C330" s="4"/>
      <c r="D330" s="4"/>
      <c r="E330" s="4"/>
      <c r="F330" s="4"/>
      <c r="G330" s="4"/>
      <c r="H330" s="1" t="str">
        <f>IF(Details!$B337="","",Details!$B337)</f>
        <v/>
      </c>
      <c r="I330" s="1" t="str">
        <f>IF(H330="","",Details!$F337)</f>
        <v/>
      </c>
      <c r="J330" s="1" t="str">
        <f>IF(H330="","",Details!$E337)</f>
        <v/>
      </c>
      <c r="K330" s="1" t="str">
        <f t="shared" si="3"/>
        <v/>
      </c>
    </row>
    <row r="331" ht="13.5" customHeight="1">
      <c r="A331" s="4"/>
      <c r="B331" s="4"/>
      <c r="C331" s="4"/>
      <c r="D331" s="4"/>
      <c r="E331" s="4"/>
      <c r="F331" s="4"/>
      <c r="G331" s="4"/>
      <c r="H331" s="1" t="str">
        <f>IF(Details!$B338="","",Details!$B338)</f>
        <v/>
      </c>
      <c r="I331" s="1" t="str">
        <f>IF(H331="","",Details!$F338)</f>
        <v/>
      </c>
      <c r="J331" s="1" t="str">
        <f>IF(H331="","",Details!$E338)</f>
        <v/>
      </c>
      <c r="K331" s="1" t="str">
        <f t="shared" si="3"/>
        <v/>
      </c>
    </row>
    <row r="332" ht="13.5" customHeight="1">
      <c r="A332" s="4"/>
      <c r="B332" s="4"/>
      <c r="C332" s="4"/>
      <c r="D332" s="4"/>
      <c r="E332" s="4"/>
      <c r="F332" s="4"/>
      <c r="G332" s="4"/>
      <c r="H332" s="1" t="str">
        <f>IF(Details!$B339="","",Details!$B339)</f>
        <v/>
      </c>
      <c r="I332" s="1" t="str">
        <f>IF(H332="","",Details!$F339)</f>
        <v/>
      </c>
      <c r="J332" s="1" t="str">
        <f>IF(H332="","",Details!$E339)</f>
        <v/>
      </c>
      <c r="K332" s="1" t="str">
        <f t="shared" si="3"/>
        <v/>
      </c>
    </row>
    <row r="333" ht="13.5" customHeight="1">
      <c r="A333" s="4"/>
      <c r="B333" s="4"/>
      <c r="C333" s="4"/>
      <c r="D333" s="4"/>
      <c r="E333" s="4"/>
      <c r="F333" s="4"/>
      <c r="G333" s="4"/>
      <c r="H333" s="1" t="str">
        <f>IF(Details!$B340="","",Details!$B340)</f>
        <v/>
      </c>
      <c r="I333" s="1" t="str">
        <f>IF(H333="","",Details!$F340)</f>
        <v/>
      </c>
      <c r="J333" s="1" t="str">
        <f>IF(H333="","",Details!$E340)</f>
        <v/>
      </c>
      <c r="K333" s="1" t="str">
        <f t="shared" si="3"/>
        <v/>
      </c>
    </row>
    <row r="334" ht="13.5" customHeight="1">
      <c r="A334" s="4"/>
      <c r="B334" s="4"/>
      <c r="C334" s="4"/>
      <c r="D334" s="4"/>
      <c r="E334" s="4"/>
      <c r="F334" s="4"/>
      <c r="G334" s="4"/>
      <c r="H334" s="1" t="str">
        <f>IF(Details!$B341="","",Details!$B341)</f>
        <v/>
      </c>
      <c r="I334" s="1" t="str">
        <f>IF(H334="","",Details!$F341)</f>
        <v/>
      </c>
      <c r="J334" s="1" t="str">
        <f>IF(H334="","",Details!$E341)</f>
        <v/>
      </c>
      <c r="K334" s="1" t="str">
        <f t="shared" si="3"/>
        <v/>
      </c>
    </row>
    <row r="335" ht="13.5" customHeight="1">
      <c r="A335" s="4"/>
      <c r="B335" s="4"/>
      <c r="C335" s="4"/>
      <c r="D335" s="4"/>
      <c r="E335" s="4"/>
      <c r="F335" s="4"/>
      <c r="G335" s="4"/>
      <c r="H335" s="1" t="str">
        <f>IF(Details!$B342="","",Details!$B342)</f>
        <v/>
      </c>
      <c r="I335" s="1" t="str">
        <f>IF(H335="","",Details!$F342)</f>
        <v/>
      </c>
      <c r="J335" s="1" t="str">
        <f>IF(H335="","",Details!$E342)</f>
        <v/>
      </c>
      <c r="K335" s="1" t="str">
        <f t="shared" si="3"/>
        <v/>
      </c>
    </row>
    <row r="336" ht="13.5" customHeight="1">
      <c r="A336" s="4"/>
      <c r="B336" s="4"/>
      <c r="C336" s="4"/>
      <c r="D336" s="4"/>
      <c r="E336" s="4"/>
      <c r="F336" s="4"/>
      <c r="G336" s="4"/>
      <c r="H336" s="1" t="str">
        <f>IF(Details!$B343="","",Details!$B343)</f>
        <v/>
      </c>
      <c r="I336" s="1" t="str">
        <f>IF(H336="","",Details!$F343)</f>
        <v/>
      </c>
      <c r="J336" s="1" t="str">
        <f>IF(H336="","",Details!$E343)</f>
        <v/>
      </c>
      <c r="K336" s="1" t="str">
        <f t="shared" si="3"/>
        <v/>
      </c>
    </row>
    <row r="337" ht="13.5" customHeight="1">
      <c r="A337" s="4"/>
      <c r="B337" s="4"/>
      <c r="C337" s="4"/>
      <c r="D337" s="4"/>
      <c r="E337" s="4"/>
      <c r="F337" s="4"/>
      <c r="G337" s="4"/>
      <c r="H337" s="1" t="str">
        <f>IF(Details!$B344="","",Details!$B344)</f>
        <v/>
      </c>
      <c r="I337" s="1" t="str">
        <f>IF(H337="","",Details!$F344)</f>
        <v/>
      </c>
      <c r="J337" s="1" t="str">
        <f>IF(H337="","",Details!$E344)</f>
        <v/>
      </c>
      <c r="K337" s="1" t="str">
        <f t="shared" si="3"/>
        <v/>
      </c>
    </row>
    <row r="338" ht="13.5" customHeight="1">
      <c r="A338" s="4"/>
      <c r="B338" s="4"/>
      <c r="C338" s="4"/>
      <c r="D338" s="4"/>
      <c r="E338" s="4"/>
      <c r="F338" s="4"/>
      <c r="G338" s="4"/>
      <c r="H338" s="1" t="str">
        <f>IF(Details!$B345="","",Details!$B345)</f>
        <v/>
      </c>
      <c r="I338" s="1" t="str">
        <f>IF(H338="","",Details!$F345)</f>
        <v/>
      </c>
      <c r="J338" s="1" t="str">
        <f>IF(H338="","",Details!$E345)</f>
        <v/>
      </c>
      <c r="K338" s="1" t="str">
        <f t="shared" si="3"/>
        <v/>
      </c>
    </row>
    <row r="339" ht="13.5" customHeight="1">
      <c r="A339" s="4"/>
      <c r="B339" s="4"/>
      <c r="C339" s="4"/>
      <c r="D339" s="4"/>
      <c r="E339" s="4"/>
      <c r="F339" s="4"/>
      <c r="G339" s="4"/>
      <c r="H339" s="1" t="str">
        <f>IF(Details!$B346="","",Details!$B346)</f>
        <v/>
      </c>
      <c r="I339" s="1" t="str">
        <f>IF(H339="","",Details!$F346)</f>
        <v/>
      </c>
      <c r="J339" s="1" t="str">
        <f>IF(H339="","",Details!$E346)</f>
        <v/>
      </c>
      <c r="K339" s="1" t="str">
        <f t="shared" si="3"/>
        <v/>
      </c>
    </row>
    <row r="340" ht="13.5" customHeight="1">
      <c r="A340" s="4"/>
      <c r="B340" s="4"/>
      <c r="C340" s="4"/>
      <c r="D340" s="4"/>
      <c r="E340" s="4"/>
      <c r="F340" s="4"/>
      <c r="G340" s="4"/>
      <c r="H340" s="1" t="str">
        <f>IF(Details!$B347="","",Details!$B347)</f>
        <v/>
      </c>
      <c r="I340" s="1" t="str">
        <f>IF(H340="","",Details!$F347)</f>
        <v/>
      </c>
      <c r="J340" s="1" t="str">
        <f>IF(H340="","",Details!$E347)</f>
        <v/>
      </c>
      <c r="K340" s="1" t="str">
        <f t="shared" si="3"/>
        <v/>
      </c>
    </row>
    <row r="341" ht="13.5" customHeight="1">
      <c r="A341" s="4"/>
      <c r="B341" s="4"/>
      <c r="C341" s="4"/>
      <c r="D341" s="4"/>
      <c r="E341" s="4"/>
      <c r="F341" s="4"/>
      <c r="G341" s="4"/>
      <c r="H341" s="1" t="str">
        <f>IF(Details!$B348="","",Details!$B348)</f>
        <v/>
      </c>
      <c r="I341" s="1" t="str">
        <f>IF(H341="","",Details!$F348)</f>
        <v/>
      </c>
      <c r="J341" s="1" t="str">
        <f>IF(H341="","",Details!$E348)</f>
        <v/>
      </c>
      <c r="K341" s="1" t="str">
        <f t="shared" si="3"/>
        <v/>
      </c>
    </row>
    <row r="342" ht="13.5" customHeight="1">
      <c r="A342" s="4"/>
      <c r="B342" s="4"/>
      <c r="C342" s="4"/>
      <c r="D342" s="4"/>
      <c r="E342" s="4"/>
      <c r="F342" s="4"/>
      <c r="G342" s="4"/>
      <c r="H342" s="1" t="str">
        <f>IF(Details!$B349="","",Details!$B349)</f>
        <v/>
      </c>
      <c r="I342" s="1" t="str">
        <f>IF(H342="","",Details!$F349)</f>
        <v/>
      </c>
      <c r="J342" s="1" t="str">
        <f>IF(H342="","",Details!$E349)</f>
        <v/>
      </c>
      <c r="K342" s="1" t="str">
        <f t="shared" si="3"/>
        <v/>
      </c>
    </row>
    <row r="343" ht="13.5" customHeight="1">
      <c r="A343" s="4"/>
      <c r="B343" s="4"/>
      <c r="C343" s="4"/>
      <c r="D343" s="4"/>
      <c r="E343" s="4"/>
      <c r="F343" s="4"/>
      <c r="G343" s="4"/>
      <c r="H343" s="1" t="str">
        <f>IF(Details!$B350="","",Details!$B350)</f>
        <v/>
      </c>
      <c r="I343" s="1" t="str">
        <f>IF(H343="","",Details!$F350)</f>
        <v/>
      </c>
      <c r="J343" s="1" t="str">
        <f>IF(H343="","",Details!$E350)</f>
        <v/>
      </c>
      <c r="K343" s="1" t="str">
        <f t="shared" si="3"/>
        <v/>
      </c>
    </row>
    <row r="344" ht="13.5" customHeight="1">
      <c r="A344" s="4"/>
      <c r="B344" s="4"/>
      <c r="C344" s="4"/>
      <c r="D344" s="4"/>
      <c r="E344" s="4"/>
      <c r="F344" s="4"/>
      <c r="G344" s="4"/>
      <c r="H344" s="1" t="str">
        <f>IF(Details!$B351="","",Details!$B351)</f>
        <v/>
      </c>
      <c r="I344" s="1" t="str">
        <f>IF(H344="","",Details!$F351)</f>
        <v/>
      </c>
      <c r="J344" s="1" t="str">
        <f>IF(H344="","",Details!$E351)</f>
        <v/>
      </c>
      <c r="K344" s="1" t="str">
        <f t="shared" si="3"/>
        <v/>
      </c>
    </row>
    <row r="345" ht="13.5" customHeight="1">
      <c r="A345" s="4"/>
      <c r="B345" s="4"/>
      <c r="C345" s="4"/>
      <c r="D345" s="4"/>
      <c r="E345" s="4"/>
      <c r="F345" s="4"/>
      <c r="G345" s="4"/>
      <c r="H345" s="1" t="str">
        <f>IF(Details!$B352="","",Details!$B352)</f>
        <v/>
      </c>
      <c r="I345" s="1" t="str">
        <f>IF(H345="","",Details!$F352)</f>
        <v/>
      </c>
      <c r="J345" s="1" t="str">
        <f>IF(H345="","",Details!$E352)</f>
        <v/>
      </c>
      <c r="K345" s="1" t="str">
        <f t="shared" si="3"/>
        <v/>
      </c>
    </row>
    <row r="346" ht="13.5" customHeight="1">
      <c r="A346" s="4"/>
      <c r="B346" s="4"/>
      <c r="C346" s="4"/>
      <c r="D346" s="4"/>
      <c r="E346" s="4"/>
      <c r="F346" s="4"/>
      <c r="G346" s="4"/>
      <c r="H346" s="1" t="str">
        <f>IF(Details!$B353="","",Details!$B353)</f>
        <v/>
      </c>
      <c r="I346" s="1" t="str">
        <f>IF(H346="","",Details!$F353)</f>
        <v/>
      </c>
      <c r="J346" s="1" t="str">
        <f>IF(H346="","",Details!$E353)</f>
        <v/>
      </c>
      <c r="K346" s="1" t="str">
        <f t="shared" si="3"/>
        <v/>
      </c>
    </row>
    <row r="347" ht="13.5" customHeight="1">
      <c r="A347" s="4"/>
      <c r="B347" s="4"/>
      <c r="C347" s="4"/>
      <c r="D347" s="4"/>
      <c r="E347" s="4"/>
      <c r="F347" s="4"/>
      <c r="G347" s="4"/>
      <c r="H347" s="1" t="str">
        <f>IF(Details!$B354="","",Details!$B354)</f>
        <v/>
      </c>
      <c r="I347" s="1" t="str">
        <f>IF(H347="","",Details!$F354)</f>
        <v/>
      </c>
      <c r="J347" s="1" t="str">
        <f>IF(H347="","",Details!$E354)</f>
        <v/>
      </c>
      <c r="K347" s="1" t="str">
        <f t="shared" si="3"/>
        <v/>
      </c>
    </row>
    <row r="348" ht="13.5" customHeight="1">
      <c r="A348" s="4"/>
      <c r="B348" s="4"/>
      <c r="C348" s="4"/>
      <c r="D348" s="4"/>
      <c r="E348" s="4"/>
      <c r="F348" s="4"/>
      <c r="G348" s="4"/>
      <c r="H348" s="1" t="str">
        <f>IF(Details!$B355="","",Details!$B355)</f>
        <v/>
      </c>
      <c r="I348" s="1" t="str">
        <f>IF(H348="","",Details!$F355)</f>
        <v/>
      </c>
      <c r="J348" s="1" t="str">
        <f>IF(H348="","",Details!$E355)</f>
        <v/>
      </c>
      <c r="K348" s="1" t="str">
        <f t="shared" si="3"/>
        <v/>
      </c>
    </row>
    <row r="349" ht="13.5" customHeight="1">
      <c r="A349" s="4"/>
      <c r="B349" s="4"/>
      <c r="C349" s="4"/>
      <c r="D349" s="4"/>
      <c r="E349" s="4"/>
      <c r="F349" s="4"/>
      <c r="G349" s="4"/>
      <c r="H349" s="1" t="str">
        <f>IF(Details!$B356="","",Details!$B356)</f>
        <v/>
      </c>
      <c r="I349" s="1" t="str">
        <f>IF(H349="","",Details!$F356)</f>
        <v/>
      </c>
      <c r="J349" s="1" t="str">
        <f>IF(H349="","",Details!$E356)</f>
        <v/>
      </c>
      <c r="K349" s="1" t="str">
        <f t="shared" si="3"/>
        <v/>
      </c>
    </row>
    <row r="350" ht="13.5" customHeight="1">
      <c r="A350" s="4"/>
      <c r="B350" s="4"/>
      <c r="C350" s="4"/>
      <c r="D350" s="4"/>
      <c r="E350" s="4"/>
      <c r="F350" s="4"/>
      <c r="G350" s="4"/>
      <c r="H350" s="1" t="str">
        <f>IF(Details!$B357="","",Details!$B357)</f>
        <v/>
      </c>
      <c r="I350" s="1" t="str">
        <f>IF(H350="","",Details!$F357)</f>
        <v/>
      </c>
      <c r="J350" s="1" t="str">
        <f>IF(H350="","",Details!$E357)</f>
        <v/>
      </c>
      <c r="K350" s="1" t="str">
        <f t="shared" si="3"/>
        <v/>
      </c>
    </row>
    <row r="351" ht="13.5" customHeight="1">
      <c r="A351" s="4"/>
      <c r="B351" s="4"/>
      <c r="C351" s="4"/>
      <c r="D351" s="4"/>
      <c r="E351" s="4"/>
      <c r="F351" s="4"/>
      <c r="G351" s="4"/>
      <c r="H351" s="1" t="str">
        <f>IF(Details!$B358="","",Details!$B358)</f>
        <v/>
      </c>
      <c r="I351" s="1" t="str">
        <f>IF(H351="","",Details!$F358)</f>
        <v/>
      </c>
      <c r="J351" s="1" t="str">
        <f>IF(H351="","",Details!$E358)</f>
        <v/>
      </c>
      <c r="K351" s="1" t="str">
        <f t="shared" si="3"/>
        <v/>
      </c>
    </row>
    <row r="352" ht="13.5" customHeight="1">
      <c r="A352" s="4"/>
      <c r="B352" s="4"/>
      <c r="C352" s="4"/>
      <c r="D352" s="4"/>
      <c r="E352" s="4"/>
      <c r="F352" s="4"/>
      <c r="G352" s="4"/>
      <c r="H352" s="1" t="str">
        <f>IF(Details!$B359="","",Details!$B359)</f>
        <v/>
      </c>
      <c r="I352" s="1" t="str">
        <f>IF(H352="","",Details!$F359)</f>
        <v/>
      </c>
      <c r="J352" s="1" t="str">
        <f>IF(H352="","",Details!$E359)</f>
        <v/>
      </c>
      <c r="K352" s="1" t="str">
        <f t="shared" si="3"/>
        <v/>
      </c>
    </row>
    <row r="353" ht="13.5" customHeight="1">
      <c r="A353" s="4"/>
      <c r="B353" s="4"/>
      <c r="C353" s="4"/>
      <c r="D353" s="4"/>
      <c r="E353" s="4"/>
      <c r="F353" s="4"/>
      <c r="G353" s="4"/>
      <c r="H353" s="1" t="str">
        <f>IF(Details!$B360="","",Details!$B360)</f>
        <v/>
      </c>
      <c r="I353" s="1" t="str">
        <f>IF(H353="","",Details!$F360)</f>
        <v/>
      </c>
      <c r="J353" s="1" t="str">
        <f>IF(H353="","",Details!$E360)</f>
        <v/>
      </c>
      <c r="K353" s="1" t="str">
        <f t="shared" si="3"/>
        <v/>
      </c>
    </row>
    <row r="354" ht="13.5" customHeight="1">
      <c r="A354" s="4"/>
      <c r="B354" s="4"/>
      <c r="C354" s="4"/>
      <c r="D354" s="4"/>
      <c r="E354" s="4"/>
      <c r="F354" s="4"/>
      <c r="G354" s="4"/>
      <c r="H354" s="1" t="str">
        <f>IF(Details!$B361="","",Details!$B361)</f>
        <v/>
      </c>
      <c r="I354" s="1" t="str">
        <f>IF(H354="","",Details!$F361)</f>
        <v/>
      </c>
      <c r="J354" s="1" t="str">
        <f>IF(H354="","",Details!$E361)</f>
        <v/>
      </c>
      <c r="K354" s="1" t="str">
        <f t="shared" si="3"/>
        <v/>
      </c>
    </row>
    <row r="355" ht="13.5" customHeight="1">
      <c r="A355" s="4"/>
      <c r="B355" s="4"/>
      <c r="C355" s="4"/>
      <c r="D355" s="4"/>
      <c r="E355" s="4"/>
      <c r="F355" s="4"/>
      <c r="G355" s="4"/>
      <c r="H355" s="1" t="str">
        <f>IF(Details!$B362="","",Details!$B362)</f>
        <v/>
      </c>
      <c r="I355" s="1" t="str">
        <f>IF(H355="","",Details!$F362)</f>
        <v/>
      </c>
      <c r="J355" s="1" t="str">
        <f>IF(H355="","",Details!$E362)</f>
        <v/>
      </c>
      <c r="K355" s="1" t="str">
        <f t="shared" si="3"/>
        <v/>
      </c>
    </row>
    <row r="356" ht="13.5" customHeight="1">
      <c r="A356" s="4"/>
      <c r="B356" s="4"/>
      <c r="C356" s="4"/>
      <c r="D356" s="4"/>
      <c r="E356" s="4"/>
      <c r="F356" s="4"/>
      <c r="G356" s="4"/>
      <c r="H356" s="1" t="str">
        <f>IF(Details!$B363="","",Details!$B363)</f>
        <v/>
      </c>
      <c r="I356" s="1" t="str">
        <f>IF(H356="","",Details!$F363)</f>
        <v/>
      </c>
      <c r="J356" s="1" t="str">
        <f>IF(H356="","",Details!$E363)</f>
        <v/>
      </c>
      <c r="K356" s="1" t="str">
        <f t="shared" si="3"/>
        <v/>
      </c>
    </row>
    <row r="357" ht="13.5" customHeight="1">
      <c r="A357" s="4"/>
      <c r="B357" s="4"/>
      <c r="C357" s="4"/>
      <c r="D357" s="4"/>
      <c r="E357" s="4"/>
      <c r="F357" s="4"/>
      <c r="G357" s="4"/>
      <c r="H357" s="1" t="str">
        <f>IF(Details!$B364="","",Details!$B364)</f>
        <v/>
      </c>
      <c r="I357" s="1" t="str">
        <f>IF(H357="","",Details!$F364)</f>
        <v/>
      </c>
      <c r="J357" s="1" t="str">
        <f>IF(H357="","",Details!$E364)</f>
        <v/>
      </c>
      <c r="K357" s="1" t="str">
        <f t="shared" si="3"/>
        <v/>
      </c>
    </row>
    <row r="358" ht="13.5" customHeight="1">
      <c r="A358" s="4"/>
      <c r="B358" s="4"/>
      <c r="C358" s="4"/>
      <c r="D358" s="4"/>
      <c r="E358" s="4"/>
      <c r="F358" s="4"/>
      <c r="G358" s="4"/>
      <c r="H358" s="1" t="str">
        <f>IF(Details!$B365="","",Details!$B365)</f>
        <v/>
      </c>
      <c r="I358" s="1" t="str">
        <f>IF(H358="","",Details!$F365)</f>
        <v/>
      </c>
      <c r="J358" s="1" t="str">
        <f>IF(H358="","",Details!$E365)</f>
        <v/>
      </c>
      <c r="K358" s="1" t="str">
        <f t="shared" si="3"/>
        <v/>
      </c>
    </row>
    <row r="359" ht="13.5" customHeight="1">
      <c r="A359" s="4"/>
      <c r="B359" s="4"/>
      <c r="C359" s="4"/>
      <c r="D359" s="4"/>
      <c r="E359" s="4"/>
      <c r="F359" s="4"/>
      <c r="G359" s="4"/>
      <c r="H359" s="1" t="str">
        <f>IF(Details!$B366="","",Details!$B366)</f>
        <v/>
      </c>
      <c r="I359" s="1" t="str">
        <f>IF(H359="","",Details!$F366)</f>
        <v/>
      </c>
      <c r="J359" s="1" t="str">
        <f>IF(H359="","",Details!$E366)</f>
        <v/>
      </c>
      <c r="K359" s="1" t="str">
        <f t="shared" si="3"/>
        <v/>
      </c>
    </row>
    <row r="360" ht="13.5" customHeight="1">
      <c r="A360" s="4"/>
      <c r="B360" s="4"/>
      <c r="C360" s="4"/>
      <c r="D360" s="4"/>
      <c r="E360" s="4"/>
      <c r="F360" s="4"/>
      <c r="G360" s="4"/>
      <c r="H360" s="1" t="str">
        <f>IF(Details!$B367="","",Details!$B367)</f>
        <v/>
      </c>
      <c r="I360" s="1" t="str">
        <f>IF(H360="","",Details!$F367)</f>
        <v/>
      </c>
      <c r="J360" s="1" t="str">
        <f>IF(H360="","",Details!$E367)</f>
        <v/>
      </c>
      <c r="K360" s="1" t="str">
        <f t="shared" si="3"/>
        <v/>
      </c>
    </row>
    <row r="361" ht="13.5" customHeight="1">
      <c r="A361" s="4"/>
      <c r="B361" s="4"/>
      <c r="C361" s="4"/>
      <c r="D361" s="4"/>
      <c r="E361" s="4"/>
      <c r="F361" s="4"/>
      <c r="G361" s="4"/>
      <c r="H361" s="1" t="str">
        <f>IF(Details!$B368="","",Details!$B368)</f>
        <v/>
      </c>
      <c r="I361" s="1" t="str">
        <f>IF(H361="","",Details!$F368)</f>
        <v/>
      </c>
      <c r="J361" s="1" t="str">
        <f>IF(H361="","",Details!$E368)</f>
        <v/>
      </c>
      <c r="K361" s="1" t="str">
        <f t="shared" si="3"/>
        <v/>
      </c>
    </row>
    <row r="362" ht="13.5" customHeight="1">
      <c r="A362" s="4"/>
      <c r="B362" s="4"/>
      <c r="C362" s="4"/>
      <c r="D362" s="4"/>
      <c r="E362" s="4"/>
      <c r="F362" s="4"/>
      <c r="G362" s="4"/>
      <c r="H362" s="1" t="str">
        <f>IF(Details!$B369="","",Details!$B369)</f>
        <v/>
      </c>
      <c r="I362" s="1" t="str">
        <f>IF(H362="","",Details!$F369)</f>
        <v/>
      </c>
      <c r="J362" s="1" t="str">
        <f>IF(H362="","",Details!$E369)</f>
        <v/>
      </c>
      <c r="K362" s="1" t="str">
        <f t="shared" si="3"/>
        <v/>
      </c>
    </row>
    <row r="363" ht="13.5" customHeight="1">
      <c r="A363" s="4"/>
      <c r="B363" s="4"/>
      <c r="C363" s="4"/>
      <c r="D363" s="4"/>
      <c r="E363" s="4"/>
      <c r="F363" s="4"/>
      <c r="G363" s="4"/>
      <c r="H363" s="1" t="str">
        <f>IF(Details!$B370="","",Details!$B370)</f>
        <v/>
      </c>
      <c r="I363" s="1" t="str">
        <f>IF(H363="","",Details!$F370)</f>
        <v/>
      </c>
      <c r="J363" s="1" t="str">
        <f>IF(H363="","",Details!$E370)</f>
        <v/>
      </c>
      <c r="K363" s="1" t="str">
        <f t="shared" si="3"/>
        <v/>
      </c>
    </row>
    <row r="364" ht="13.5" customHeight="1">
      <c r="A364" s="4"/>
      <c r="B364" s="4"/>
      <c r="C364" s="4"/>
      <c r="D364" s="4"/>
      <c r="E364" s="4"/>
      <c r="F364" s="4"/>
      <c r="G364" s="4"/>
      <c r="H364" s="1" t="str">
        <f>IF(Details!$B371="","",Details!$B371)</f>
        <v/>
      </c>
      <c r="I364" s="1" t="str">
        <f>IF(H364="","",Details!$F371)</f>
        <v/>
      </c>
      <c r="J364" s="1" t="str">
        <f>IF(H364="","",Details!$E371)</f>
        <v/>
      </c>
      <c r="K364" s="1" t="str">
        <f t="shared" si="3"/>
        <v/>
      </c>
    </row>
    <row r="365" ht="13.5" customHeight="1">
      <c r="A365" s="4"/>
      <c r="B365" s="4"/>
      <c r="C365" s="4"/>
      <c r="D365" s="4"/>
      <c r="E365" s="4"/>
      <c r="F365" s="4"/>
      <c r="G365" s="4"/>
      <c r="H365" s="1" t="str">
        <f>IF(Details!$B372="","",Details!$B372)</f>
        <v/>
      </c>
      <c r="I365" s="1" t="str">
        <f>IF(H365="","",Details!$F372)</f>
        <v/>
      </c>
      <c r="J365" s="1" t="str">
        <f>IF(H365="","",Details!$E372)</f>
        <v/>
      </c>
      <c r="K365" s="1" t="str">
        <f t="shared" si="3"/>
        <v/>
      </c>
    </row>
    <row r="366" ht="13.5" customHeight="1">
      <c r="A366" s="4"/>
      <c r="B366" s="4"/>
      <c r="C366" s="4"/>
      <c r="D366" s="4"/>
      <c r="E366" s="4"/>
      <c r="F366" s="4"/>
      <c r="G366" s="4"/>
      <c r="H366" s="1" t="str">
        <f>IF(Details!$B373="","",Details!$B373)</f>
        <v/>
      </c>
      <c r="I366" s="1" t="str">
        <f>IF(H366="","",Details!$F373)</f>
        <v/>
      </c>
      <c r="J366" s="1" t="str">
        <f>IF(H366="","",Details!$E373)</f>
        <v/>
      </c>
      <c r="K366" s="1" t="str">
        <f t="shared" si="3"/>
        <v/>
      </c>
    </row>
    <row r="367" ht="13.5" customHeight="1">
      <c r="A367" s="4"/>
      <c r="B367" s="4"/>
      <c r="C367" s="4"/>
      <c r="D367" s="4"/>
      <c r="E367" s="4"/>
      <c r="F367" s="4"/>
      <c r="G367" s="4"/>
      <c r="H367" s="1" t="str">
        <f>IF(Details!$B374="","",Details!$B374)</f>
        <v/>
      </c>
      <c r="I367" s="1" t="str">
        <f>IF(H367="","",Details!$F374)</f>
        <v/>
      </c>
      <c r="J367" s="1" t="str">
        <f>IF(H367="","",Details!$E374)</f>
        <v/>
      </c>
      <c r="K367" s="1" t="str">
        <f t="shared" si="3"/>
        <v/>
      </c>
    </row>
    <row r="368" ht="13.5" customHeight="1">
      <c r="A368" s="4"/>
      <c r="B368" s="4"/>
      <c r="C368" s="4"/>
      <c r="D368" s="4"/>
      <c r="E368" s="4"/>
      <c r="F368" s="4"/>
      <c r="G368" s="4"/>
      <c r="H368" s="1" t="str">
        <f>IF(Details!$B375="","",Details!$B375)</f>
        <v/>
      </c>
      <c r="I368" s="1" t="str">
        <f>IF(H368="","",Details!$F375)</f>
        <v/>
      </c>
      <c r="J368" s="1" t="str">
        <f>IF(H368="","",Details!$E375)</f>
        <v/>
      </c>
      <c r="K368" s="1" t="str">
        <f t="shared" si="3"/>
        <v/>
      </c>
    </row>
    <row r="369" ht="13.5" customHeight="1">
      <c r="A369" s="4"/>
      <c r="B369" s="4"/>
      <c r="C369" s="4"/>
      <c r="D369" s="4"/>
      <c r="E369" s="4"/>
      <c r="F369" s="4"/>
      <c r="G369" s="4"/>
      <c r="H369" s="1" t="str">
        <f>IF(Details!$B376="","",Details!$B376)</f>
        <v/>
      </c>
      <c r="I369" s="1" t="str">
        <f>IF(H369="","",Details!$F376)</f>
        <v/>
      </c>
      <c r="J369" s="1" t="str">
        <f>IF(H369="","",Details!$E376)</f>
        <v/>
      </c>
      <c r="K369" s="1" t="str">
        <f t="shared" si="3"/>
        <v/>
      </c>
    </row>
    <row r="370" ht="13.5" customHeight="1">
      <c r="A370" s="4"/>
      <c r="B370" s="4"/>
      <c r="C370" s="4"/>
      <c r="D370" s="4"/>
      <c r="E370" s="4"/>
      <c r="F370" s="4"/>
      <c r="G370" s="4"/>
      <c r="H370" s="1" t="str">
        <f>IF(Details!$B377="","",Details!$B377)</f>
        <v/>
      </c>
      <c r="I370" s="1" t="str">
        <f>IF(H370="","",Details!$F377)</f>
        <v/>
      </c>
      <c r="J370" s="1" t="str">
        <f>IF(H370="","",Details!$E377)</f>
        <v/>
      </c>
      <c r="K370" s="1" t="str">
        <f t="shared" si="3"/>
        <v/>
      </c>
    </row>
    <row r="371" ht="13.5" customHeight="1">
      <c r="A371" s="4"/>
      <c r="B371" s="4"/>
      <c r="C371" s="4"/>
      <c r="D371" s="4"/>
      <c r="E371" s="4"/>
      <c r="F371" s="4"/>
      <c r="G371" s="4"/>
      <c r="H371" s="1" t="str">
        <f>IF(Details!$B378="","",Details!$B378)</f>
        <v/>
      </c>
      <c r="I371" s="1" t="str">
        <f>IF(H371="","",Details!$F378)</f>
        <v/>
      </c>
      <c r="J371" s="1" t="str">
        <f>IF(H371="","",Details!$E378)</f>
        <v/>
      </c>
      <c r="K371" s="1" t="str">
        <f t="shared" si="3"/>
        <v/>
      </c>
    </row>
    <row r="372" ht="13.5" customHeight="1">
      <c r="A372" s="4"/>
      <c r="B372" s="4"/>
      <c r="C372" s="4"/>
      <c r="D372" s="4"/>
      <c r="E372" s="4"/>
      <c r="F372" s="4"/>
      <c r="G372" s="4"/>
      <c r="H372" s="1" t="str">
        <f>IF(Details!$B379="","",Details!$B379)</f>
        <v/>
      </c>
      <c r="I372" s="1" t="str">
        <f>IF(H372="","",Details!$F379)</f>
        <v/>
      </c>
      <c r="J372" s="1" t="str">
        <f>IF(H372="","",Details!$E379)</f>
        <v/>
      </c>
      <c r="K372" s="1" t="str">
        <f t="shared" si="3"/>
        <v/>
      </c>
    </row>
    <row r="373" ht="13.5" customHeight="1">
      <c r="A373" s="4"/>
      <c r="B373" s="4"/>
      <c r="C373" s="4"/>
      <c r="D373" s="4"/>
      <c r="E373" s="4"/>
      <c r="F373" s="4"/>
      <c r="G373" s="4"/>
      <c r="H373" s="1" t="str">
        <f>IF(Details!$B380="","",Details!$B380)</f>
        <v/>
      </c>
      <c r="I373" s="1" t="str">
        <f>IF(H373="","",Details!$F380)</f>
        <v/>
      </c>
      <c r="J373" s="1" t="str">
        <f>IF(H373="","",Details!$E380)</f>
        <v/>
      </c>
      <c r="K373" s="1" t="str">
        <f t="shared" si="3"/>
        <v/>
      </c>
    </row>
    <row r="374" ht="13.5" customHeight="1">
      <c r="A374" s="4"/>
      <c r="B374" s="4"/>
      <c r="C374" s="4"/>
      <c r="D374" s="4"/>
      <c r="E374" s="4"/>
      <c r="F374" s="4"/>
      <c r="G374" s="4"/>
      <c r="H374" s="1" t="str">
        <f>IF(Details!$B381="","",Details!$B381)</f>
        <v/>
      </c>
      <c r="I374" s="1" t="str">
        <f>IF(H374="","",Details!$F381)</f>
        <v/>
      </c>
      <c r="J374" s="1" t="str">
        <f>IF(H374="","",Details!$E381)</f>
        <v/>
      </c>
      <c r="K374" s="1" t="str">
        <f t="shared" si="3"/>
        <v/>
      </c>
    </row>
    <row r="375" ht="13.5" customHeight="1">
      <c r="A375" s="4"/>
      <c r="B375" s="4"/>
      <c r="C375" s="4"/>
      <c r="D375" s="4"/>
      <c r="E375" s="4"/>
      <c r="F375" s="4"/>
      <c r="G375" s="4"/>
      <c r="H375" s="1" t="str">
        <f>IF(Details!$B382="","",Details!$B382)</f>
        <v/>
      </c>
      <c r="I375" s="1" t="str">
        <f>IF(H375="","",Details!$F382)</f>
        <v/>
      </c>
      <c r="J375" s="1" t="str">
        <f>IF(H375="","",Details!$E382)</f>
        <v/>
      </c>
      <c r="K375" s="1" t="str">
        <f t="shared" si="3"/>
        <v/>
      </c>
    </row>
    <row r="376" ht="13.5" customHeight="1">
      <c r="A376" s="4"/>
      <c r="B376" s="4"/>
      <c r="C376" s="4"/>
      <c r="D376" s="4"/>
      <c r="E376" s="4"/>
      <c r="F376" s="4"/>
      <c r="G376" s="4"/>
      <c r="H376" s="1" t="str">
        <f>IF(Details!$B383="","",Details!$B383)</f>
        <v/>
      </c>
      <c r="I376" s="1" t="str">
        <f>IF(H376="","",Details!$F383)</f>
        <v/>
      </c>
      <c r="J376" s="1" t="str">
        <f>IF(H376="","",Details!$E383)</f>
        <v/>
      </c>
      <c r="K376" s="1" t="str">
        <f t="shared" si="3"/>
        <v/>
      </c>
    </row>
    <row r="377" ht="13.5" customHeight="1">
      <c r="A377" s="4"/>
      <c r="B377" s="4"/>
      <c r="C377" s="4"/>
      <c r="D377" s="4"/>
      <c r="E377" s="4"/>
      <c r="F377" s="4"/>
      <c r="G377" s="4"/>
      <c r="H377" s="1" t="str">
        <f>IF(Details!$B384="","",Details!$B384)</f>
        <v/>
      </c>
      <c r="I377" s="1" t="str">
        <f>IF(H377="","",Details!$F384)</f>
        <v/>
      </c>
      <c r="J377" s="1" t="str">
        <f>IF(H377="","",Details!$E384)</f>
        <v/>
      </c>
      <c r="K377" s="1" t="str">
        <f t="shared" si="3"/>
        <v/>
      </c>
    </row>
    <row r="378" ht="13.5" customHeight="1">
      <c r="A378" s="4"/>
      <c r="B378" s="4"/>
      <c r="C378" s="4"/>
      <c r="D378" s="4"/>
      <c r="E378" s="4"/>
      <c r="F378" s="4"/>
      <c r="G378" s="4"/>
      <c r="H378" s="1" t="str">
        <f>IF(Details!$B385="","",Details!$B385)</f>
        <v/>
      </c>
      <c r="I378" s="1" t="str">
        <f>IF(H378="","",Details!$F385)</f>
        <v/>
      </c>
      <c r="J378" s="1" t="str">
        <f>IF(H378="","",Details!$E385)</f>
        <v/>
      </c>
      <c r="K378" s="1" t="str">
        <f t="shared" si="3"/>
        <v/>
      </c>
    </row>
    <row r="379" ht="13.5" customHeight="1">
      <c r="A379" s="4"/>
      <c r="B379" s="4"/>
      <c r="C379" s="4"/>
      <c r="D379" s="4"/>
      <c r="E379" s="4"/>
      <c r="F379" s="4"/>
      <c r="G379" s="4"/>
      <c r="H379" s="1" t="str">
        <f>IF(Details!$B386="","",Details!$B386)</f>
        <v/>
      </c>
      <c r="I379" s="1" t="str">
        <f>IF(H379="","",Details!$F386)</f>
        <v/>
      </c>
      <c r="J379" s="1" t="str">
        <f>IF(H379="","",Details!$E386)</f>
        <v/>
      </c>
      <c r="K379" s="1" t="str">
        <f t="shared" si="3"/>
        <v/>
      </c>
    </row>
    <row r="380" ht="13.5" customHeight="1">
      <c r="A380" s="4"/>
      <c r="B380" s="4"/>
      <c r="C380" s="4"/>
      <c r="D380" s="4"/>
      <c r="E380" s="4"/>
      <c r="F380" s="4"/>
      <c r="G380" s="4"/>
      <c r="H380" s="1" t="str">
        <f>IF(Details!$B387="","",Details!$B387)</f>
        <v/>
      </c>
      <c r="I380" s="1" t="str">
        <f>IF(H380="","",Details!$F387)</f>
        <v/>
      </c>
      <c r="J380" s="1" t="str">
        <f>IF(H380="","",Details!$E387)</f>
        <v/>
      </c>
      <c r="K380" s="1" t="str">
        <f t="shared" si="3"/>
        <v/>
      </c>
    </row>
    <row r="381" ht="13.5" customHeight="1">
      <c r="A381" s="4"/>
      <c r="B381" s="4"/>
      <c r="C381" s="4"/>
      <c r="D381" s="4"/>
      <c r="E381" s="4"/>
      <c r="F381" s="4"/>
      <c r="G381" s="4"/>
      <c r="H381" s="1" t="str">
        <f>IF(Details!$B388="","",Details!$B388)</f>
        <v/>
      </c>
      <c r="I381" s="1" t="str">
        <f>IF(H381="","",Details!$F388)</f>
        <v/>
      </c>
      <c r="J381" s="1" t="str">
        <f>IF(H381="","",Details!$E388)</f>
        <v/>
      </c>
      <c r="K381" s="1" t="str">
        <f t="shared" si="3"/>
        <v/>
      </c>
    </row>
    <row r="382" ht="13.5" customHeight="1">
      <c r="A382" s="4"/>
      <c r="B382" s="4"/>
      <c r="C382" s="4"/>
      <c r="D382" s="4"/>
      <c r="E382" s="4"/>
      <c r="F382" s="4"/>
      <c r="G382" s="4"/>
      <c r="H382" s="1" t="str">
        <f>IF(Details!$B389="","",Details!$B389)</f>
        <v/>
      </c>
      <c r="I382" s="1" t="str">
        <f>IF(H382="","",Details!$F389)</f>
        <v/>
      </c>
      <c r="J382" s="1" t="str">
        <f>IF(H382="","",Details!$E389)</f>
        <v/>
      </c>
      <c r="K382" s="1" t="str">
        <f t="shared" si="3"/>
        <v/>
      </c>
    </row>
    <row r="383" ht="13.5" customHeight="1">
      <c r="A383" s="4"/>
      <c r="B383" s="4"/>
      <c r="C383" s="4"/>
      <c r="D383" s="4"/>
      <c r="E383" s="4"/>
      <c r="F383" s="4"/>
      <c r="G383" s="4"/>
      <c r="H383" s="1" t="str">
        <f>IF(Details!$B390="","",Details!$B390)</f>
        <v/>
      </c>
      <c r="I383" s="1" t="str">
        <f>IF(H383="","",Details!$F390)</f>
        <v/>
      </c>
      <c r="J383" s="1" t="str">
        <f>IF(H383="","",Details!$E390)</f>
        <v/>
      </c>
      <c r="K383" s="1" t="str">
        <f t="shared" si="3"/>
        <v/>
      </c>
    </row>
    <row r="384" ht="13.5" customHeight="1">
      <c r="A384" s="4"/>
      <c r="B384" s="4"/>
      <c r="C384" s="4"/>
      <c r="D384" s="4"/>
      <c r="E384" s="4"/>
      <c r="F384" s="4"/>
      <c r="G384" s="4"/>
      <c r="H384" s="1" t="str">
        <f>IF(Details!$B391="","",Details!$B391)</f>
        <v/>
      </c>
      <c r="I384" s="1" t="str">
        <f>IF(H384="","",Details!$F391)</f>
        <v/>
      </c>
      <c r="J384" s="1" t="str">
        <f>IF(H384="","",Details!$E391)</f>
        <v/>
      </c>
      <c r="K384" s="1" t="str">
        <f t="shared" si="3"/>
        <v/>
      </c>
    </row>
    <row r="385" ht="13.5" customHeight="1">
      <c r="A385" s="4"/>
      <c r="B385" s="4"/>
      <c r="C385" s="4"/>
      <c r="D385" s="4"/>
      <c r="E385" s="4"/>
      <c r="F385" s="4"/>
      <c r="G385" s="4"/>
      <c r="H385" s="1" t="str">
        <f>IF(Details!$B392="","",Details!$B392)</f>
        <v/>
      </c>
      <c r="I385" s="1" t="str">
        <f>IF(H385="","",Details!$F392)</f>
        <v/>
      </c>
      <c r="J385" s="1" t="str">
        <f>IF(H385="","",Details!$E392)</f>
        <v/>
      </c>
      <c r="K385" s="1" t="str">
        <f t="shared" si="3"/>
        <v/>
      </c>
    </row>
    <row r="386" ht="13.5" customHeight="1">
      <c r="A386" s="4"/>
      <c r="B386" s="4"/>
      <c r="C386" s="4"/>
      <c r="D386" s="4"/>
      <c r="E386" s="4"/>
      <c r="F386" s="4"/>
      <c r="G386" s="4"/>
      <c r="H386" s="1" t="str">
        <f>IF(Details!$B393="","",Details!$B393)</f>
        <v/>
      </c>
      <c r="I386" s="1" t="str">
        <f>IF(H386="","",Details!$F393)</f>
        <v/>
      </c>
      <c r="J386" s="1" t="str">
        <f>IF(H386="","",Details!$E393)</f>
        <v/>
      </c>
      <c r="K386" s="1" t="str">
        <f t="shared" si="3"/>
        <v/>
      </c>
    </row>
    <row r="387" ht="13.5" customHeight="1">
      <c r="A387" s="4"/>
      <c r="B387" s="4"/>
      <c r="C387" s="4"/>
      <c r="D387" s="4"/>
      <c r="E387" s="4"/>
      <c r="F387" s="4"/>
      <c r="G387" s="4"/>
      <c r="H387" s="1" t="str">
        <f>IF(Details!$B394="","",Details!$B394)</f>
        <v/>
      </c>
      <c r="I387" s="1" t="str">
        <f>IF(H387="","",Details!$F394)</f>
        <v/>
      </c>
      <c r="J387" s="1" t="str">
        <f>IF(H387="","",Details!$E394)</f>
        <v/>
      </c>
      <c r="K387" s="1" t="str">
        <f t="shared" si="3"/>
        <v/>
      </c>
    </row>
    <row r="388" ht="13.5" customHeight="1">
      <c r="A388" s="4"/>
      <c r="B388" s="4"/>
      <c r="C388" s="4"/>
      <c r="D388" s="4"/>
      <c r="E388" s="4"/>
      <c r="F388" s="4"/>
      <c r="G388" s="4"/>
      <c r="H388" s="1" t="str">
        <f>IF(Details!$B395="","",Details!$B395)</f>
        <v/>
      </c>
      <c r="I388" s="1" t="str">
        <f>IF(H388="","",Details!$F395)</f>
        <v/>
      </c>
      <c r="J388" s="1" t="str">
        <f>IF(H388="","",Details!$E395)</f>
        <v/>
      </c>
      <c r="K388" s="1" t="str">
        <f t="shared" si="3"/>
        <v/>
      </c>
    </row>
    <row r="389" ht="13.5" customHeight="1">
      <c r="A389" s="4"/>
      <c r="B389" s="4"/>
      <c r="C389" s="4"/>
      <c r="D389" s="4"/>
      <c r="E389" s="4"/>
      <c r="F389" s="4"/>
      <c r="G389" s="4"/>
      <c r="H389" s="1" t="str">
        <f>IF(Details!$B396="","",Details!$B396)</f>
        <v/>
      </c>
      <c r="I389" s="1" t="str">
        <f>IF(H389="","",Details!$F396)</f>
        <v/>
      </c>
      <c r="J389" s="1" t="str">
        <f>IF(H389="","",Details!$E396)</f>
        <v/>
      </c>
      <c r="K389" s="1" t="str">
        <f t="shared" si="3"/>
        <v/>
      </c>
    </row>
    <row r="390" ht="13.5" customHeight="1">
      <c r="A390" s="4"/>
      <c r="B390" s="4"/>
      <c r="C390" s="4"/>
      <c r="D390" s="4"/>
      <c r="E390" s="4"/>
      <c r="F390" s="4"/>
      <c r="G390" s="4"/>
      <c r="H390" s="1" t="str">
        <f>IF(Details!$B397="","",Details!$B397)</f>
        <v/>
      </c>
      <c r="I390" s="1" t="str">
        <f>IF(H390="","",Details!$F397)</f>
        <v/>
      </c>
      <c r="J390" s="1" t="str">
        <f>IF(H390="","",Details!$E397)</f>
        <v/>
      </c>
      <c r="K390" s="1" t="str">
        <f t="shared" si="3"/>
        <v/>
      </c>
    </row>
    <row r="391" ht="13.5" customHeight="1">
      <c r="A391" s="4"/>
      <c r="B391" s="4"/>
      <c r="C391" s="4"/>
      <c r="D391" s="4"/>
      <c r="E391" s="4"/>
      <c r="F391" s="4"/>
      <c r="G391" s="4"/>
      <c r="H391" s="1" t="str">
        <f>IF(Details!$B398="","",Details!$B398)</f>
        <v/>
      </c>
      <c r="I391" s="1" t="str">
        <f>IF(H391="","",Details!$F398)</f>
        <v/>
      </c>
      <c r="J391" s="1" t="str">
        <f>IF(H391="","",Details!$E398)</f>
        <v/>
      </c>
      <c r="K391" s="1" t="str">
        <f t="shared" si="3"/>
        <v/>
      </c>
    </row>
    <row r="392" ht="13.5" customHeight="1">
      <c r="A392" s="4"/>
      <c r="B392" s="4"/>
      <c r="C392" s="4"/>
      <c r="D392" s="4"/>
      <c r="E392" s="4"/>
      <c r="F392" s="4"/>
      <c r="G392" s="4"/>
      <c r="H392" s="1" t="str">
        <f>IF(Details!$B399="","",Details!$B399)</f>
        <v/>
      </c>
      <c r="I392" s="1" t="str">
        <f>IF(H392="","",Details!$F399)</f>
        <v/>
      </c>
      <c r="J392" s="1" t="str">
        <f>IF(H392="","",Details!$E399)</f>
        <v/>
      </c>
      <c r="K392" s="1" t="str">
        <f t="shared" si="3"/>
        <v/>
      </c>
    </row>
    <row r="393" ht="13.5" customHeight="1">
      <c r="A393" s="4"/>
      <c r="B393" s="4"/>
      <c r="C393" s="4"/>
      <c r="D393" s="4"/>
      <c r="E393" s="4"/>
      <c r="F393" s="4"/>
      <c r="G393" s="4"/>
      <c r="H393" s="1" t="str">
        <f>IF(Details!$B400="","",Details!$B400)</f>
        <v/>
      </c>
      <c r="I393" s="1" t="str">
        <f>IF(H393="","",Details!$F400)</f>
        <v/>
      </c>
      <c r="J393" s="1" t="str">
        <f>IF(H393="","",Details!$E400)</f>
        <v/>
      </c>
      <c r="K393" s="1" t="str">
        <f t="shared" si="3"/>
        <v/>
      </c>
    </row>
    <row r="394" ht="13.5" customHeight="1">
      <c r="A394" s="4"/>
      <c r="B394" s="4"/>
      <c r="C394" s="4"/>
      <c r="D394" s="4"/>
      <c r="E394" s="4"/>
      <c r="F394" s="4"/>
      <c r="G394" s="4"/>
      <c r="H394" s="1" t="str">
        <f>IF(Details!$B401="","",Details!$B401)</f>
        <v/>
      </c>
      <c r="I394" s="1" t="str">
        <f>IF(H394="","",Details!$F401)</f>
        <v/>
      </c>
      <c r="J394" s="1" t="str">
        <f>IF(H394="","",Details!$E401)</f>
        <v/>
      </c>
      <c r="K394" s="1" t="str">
        <f t="shared" si="3"/>
        <v/>
      </c>
    </row>
    <row r="395" ht="13.5" customHeight="1">
      <c r="A395" s="4"/>
      <c r="B395" s="4"/>
      <c r="C395" s="4"/>
      <c r="D395" s="4"/>
      <c r="E395" s="4"/>
      <c r="F395" s="4"/>
      <c r="G395" s="4"/>
      <c r="H395" s="1" t="str">
        <f>IF(Details!$B402="","",Details!$B402)</f>
        <v/>
      </c>
      <c r="I395" s="1" t="str">
        <f>IF(H395="","",Details!$F402)</f>
        <v/>
      </c>
      <c r="J395" s="1" t="str">
        <f>IF(H395="","",Details!$E402)</f>
        <v/>
      </c>
      <c r="K395" s="1" t="str">
        <f t="shared" si="3"/>
        <v/>
      </c>
    </row>
    <row r="396" ht="13.5" customHeight="1">
      <c r="A396" s="4"/>
      <c r="B396" s="4"/>
      <c r="C396" s="4"/>
      <c r="D396" s="4"/>
      <c r="E396" s="4"/>
      <c r="F396" s="4"/>
      <c r="G396" s="4"/>
      <c r="H396" s="1" t="str">
        <f>IF(Details!$B403="","",Details!$B403)</f>
        <v/>
      </c>
      <c r="I396" s="1" t="str">
        <f>IF(H396="","",Details!$F403)</f>
        <v/>
      </c>
      <c r="J396" s="1" t="str">
        <f>IF(H396="","",Details!$E403)</f>
        <v/>
      </c>
      <c r="K396" s="1" t="str">
        <f t="shared" si="3"/>
        <v/>
      </c>
    </row>
    <row r="397" ht="13.5" customHeight="1">
      <c r="A397" s="4"/>
      <c r="B397" s="4"/>
      <c r="C397" s="4"/>
      <c r="D397" s="4"/>
      <c r="E397" s="4"/>
      <c r="F397" s="4"/>
      <c r="G397" s="4"/>
      <c r="H397" s="1" t="str">
        <f>IF(Details!$B404="","",Details!$B404)</f>
        <v/>
      </c>
      <c r="I397" s="1" t="str">
        <f>IF(H397="","",Details!$F404)</f>
        <v/>
      </c>
      <c r="J397" s="1" t="str">
        <f>IF(H397="","",Details!$E404)</f>
        <v/>
      </c>
      <c r="K397" s="1" t="str">
        <f t="shared" si="3"/>
        <v/>
      </c>
    </row>
    <row r="398" ht="13.5" customHeight="1">
      <c r="A398" s="4"/>
      <c r="B398" s="4"/>
      <c r="C398" s="4"/>
      <c r="D398" s="4"/>
      <c r="E398" s="4"/>
      <c r="F398" s="4"/>
      <c r="G398" s="4"/>
      <c r="H398" s="1" t="str">
        <f>IF(Details!$B405="","",Details!$B405)</f>
        <v/>
      </c>
      <c r="I398" s="1" t="str">
        <f>IF(H398="","",Details!$F405)</f>
        <v/>
      </c>
      <c r="J398" s="1" t="str">
        <f>IF(H398="","",Details!$E405)</f>
        <v/>
      </c>
      <c r="K398" s="1" t="str">
        <f t="shared" si="3"/>
        <v/>
      </c>
    </row>
    <row r="399" ht="13.5" customHeight="1">
      <c r="A399" s="4"/>
      <c r="B399" s="4"/>
      <c r="C399" s="4"/>
      <c r="D399" s="4"/>
      <c r="E399" s="4"/>
      <c r="F399" s="4"/>
      <c r="G399" s="4"/>
      <c r="H399" s="1" t="str">
        <f>IF(Details!$B406="","",Details!$B406)</f>
        <v/>
      </c>
      <c r="I399" s="1" t="str">
        <f>IF(H399="","",Details!$F406)</f>
        <v/>
      </c>
      <c r="J399" s="1" t="str">
        <f>IF(H399="","",Details!$E406)</f>
        <v/>
      </c>
      <c r="K399" s="1" t="str">
        <f t="shared" si="3"/>
        <v/>
      </c>
    </row>
    <row r="400" ht="13.5" customHeight="1">
      <c r="A400" s="4"/>
      <c r="B400" s="4"/>
      <c r="C400" s="4"/>
      <c r="D400" s="4"/>
      <c r="E400" s="4"/>
      <c r="F400" s="4"/>
      <c r="G400" s="4"/>
      <c r="H400" s="1" t="str">
        <f>IF(Details!$B407="","",Details!$B407)</f>
        <v/>
      </c>
      <c r="I400" s="1" t="str">
        <f>IF(H400="","",Details!$F407)</f>
        <v/>
      </c>
      <c r="J400" s="1" t="str">
        <f>IF(H400="","",Details!$E407)</f>
        <v/>
      </c>
      <c r="K400" s="1" t="str">
        <f t="shared" si="3"/>
        <v/>
      </c>
    </row>
    <row r="401" ht="13.5" customHeight="1">
      <c r="A401" s="4"/>
      <c r="B401" s="4"/>
      <c r="C401" s="4"/>
      <c r="D401" s="4"/>
      <c r="E401" s="4"/>
      <c r="F401" s="4"/>
      <c r="G401" s="4"/>
      <c r="H401" s="1" t="str">
        <f>IF(Details!$B408="","",Details!$B408)</f>
        <v/>
      </c>
      <c r="I401" s="1" t="str">
        <f>IF(H401="","",Details!$F408)</f>
        <v/>
      </c>
      <c r="J401" s="1" t="str">
        <f>IF(H401="","",Details!$E408)</f>
        <v/>
      </c>
      <c r="K401" s="1" t="str">
        <f t="shared" si="3"/>
        <v/>
      </c>
    </row>
    <row r="402" ht="13.5" customHeight="1">
      <c r="A402" s="4"/>
      <c r="B402" s="4"/>
      <c r="C402" s="4"/>
      <c r="D402" s="4"/>
      <c r="E402" s="4"/>
      <c r="F402" s="4"/>
      <c r="G402" s="4"/>
      <c r="H402" s="1" t="str">
        <f>IF(Details!$B409="","",Details!$B409)</f>
        <v/>
      </c>
      <c r="I402" s="1" t="str">
        <f>IF(H402="","",Details!$F409)</f>
        <v/>
      </c>
      <c r="J402" s="1" t="str">
        <f>IF(H402="","",Details!$E409)</f>
        <v/>
      </c>
      <c r="K402" s="1" t="str">
        <f t="shared" si="3"/>
        <v/>
      </c>
    </row>
    <row r="403" ht="13.5" customHeight="1">
      <c r="A403" s="4"/>
      <c r="B403" s="4"/>
      <c r="C403" s="4"/>
      <c r="D403" s="4"/>
      <c r="E403" s="4"/>
      <c r="F403" s="4"/>
      <c r="G403" s="4"/>
      <c r="H403" s="1" t="str">
        <f>IF(Details!$B410="","",Details!$B410)</f>
        <v/>
      </c>
      <c r="I403" s="1" t="str">
        <f>IF(H403="","",Details!$F410)</f>
        <v/>
      </c>
      <c r="J403" s="1" t="str">
        <f>IF(H403="","",Details!$E410)</f>
        <v/>
      </c>
      <c r="K403" s="1" t="str">
        <f t="shared" si="3"/>
        <v/>
      </c>
    </row>
    <row r="404" ht="13.5" customHeight="1">
      <c r="A404" s="4"/>
      <c r="B404" s="4"/>
      <c r="C404" s="4"/>
      <c r="D404" s="4"/>
      <c r="E404" s="4"/>
      <c r="F404" s="4"/>
      <c r="G404" s="4"/>
      <c r="H404" s="1" t="str">
        <f>IF(Details!$B411="","",Details!$B411)</f>
        <v/>
      </c>
      <c r="I404" s="1" t="str">
        <f>IF(H404="","",Details!$F411)</f>
        <v/>
      </c>
      <c r="J404" s="1" t="str">
        <f>IF(H404="","",Details!$E411)</f>
        <v/>
      </c>
      <c r="K404" s="1" t="str">
        <f t="shared" si="3"/>
        <v/>
      </c>
    </row>
    <row r="405" ht="13.5" customHeight="1">
      <c r="A405" s="4"/>
      <c r="B405" s="4"/>
      <c r="C405" s="4"/>
      <c r="D405" s="4"/>
      <c r="E405" s="4"/>
      <c r="F405" s="4"/>
      <c r="G405" s="4"/>
      <c r="H405" s="1" t="str">
        <f>IF(Details!$B412="","",Details!$B412)</f>
        <v/>
      </c>
      <c r="I405" s="1" t="str">
        <f>IF(H405="","",Details!$F412)</f>
        <v/>
      </c>
      <c r="J405" s="1" t="str">
        <f>IF(H405="","",Details!$E412)</f>
        <v/>
      </c>
      <c r="K405" s="1" t="str">
        <f t="shared" si="3"/>
        <v/>
      </c>
    </row>
    <row r="406" ht="13.5" customHeight="1">
      <c r="A406" s="4"/>
      <c r="B406" s="4"/>
      <c r="C406" s="4"/>
      <c r="D406" s="4"/>
      <c r="E406" s="4"/>
      <c r="F406" s="4"/>
      <c r="G406" s="4"/>
      <c r="H406" s="1" t="str">
        <f>IF(Details!$B413="","",Details!$B413)</f>
        <v/>
      </c>
      <c r="I406" s="1" t="str">
        <f>IF(H406="","",Details!$F413)</f>
        <v/>
      </c>
      <c r="J406" s="1" t="str">
        <f>IF(H406="","",Details!$E413)</f>
        <v/>
      </c>
      <c r="K406" s="1" t="str">
        <f t="shared" si="3"/>
        <v/>
      </c>
    </row>
    <row r="407" ht="13.5" customHeight="1">
      <c r="A407" s="4"/>
      <c r="B407" s="4"/>
      <c r="C407" s="4"/>
      <c r="D407" s="4"/>
      <c r="E407" s="4"/>
      <c r="F407" s="4"/>
      <c r="G407" s="4"/>
      <c r="H407" s="1" t="str">
        <f>IF(Details!$B414="","",Details!$B414)</f>
        <v/>
      </c>
      <c r="I407" s="1" t="str">
        <f>IF(H407="","",Details!$F414)</f>
        <v/>
      </c>
      <c r="J407" s="1" t="str">
        <f>IF(H407="","",Details!$E414)</f>
        <v/>
      </c>
      <c r="K407" s="1" t="str">
        <f t="shared" si="3"/>
        <v/>
      </c>
    </row>
    <row r="408" ht="13.5" customHeight="1">
      <c r="A408" s="4"/>
      <c r="B408" s="4"/>
      <c r="C408" s="4"/>
      <c r="D408" s="4"/>
      <c r="E408" s="4"/>
      <c r="F408" s="4"/>
      <c r="G408" s="4"/>
      <c r="H408" s="1" t="str">
        <f>IF(Details!$B415="","",Details!$B415)</f>
        <v/>
      </c>
      <c r="I408" s="1" t="str">
        <f>IF(H408="","",Details!$F415)</f>
        <v/>
      </c>
      <c r="J408" s="1" t="str">
        <f>IF(H408="","",Details!$E415)</f>
        <v/>
      </c>
      <c r="K408" s="1" t="str">
        <f t="shared" si="3"/>
        <v/>
      </c>
    </row>
    <row r="409" ht="13.5" customHeight="1">
      <c r="A409" s="4"/>
      <c r="B409" s="4"/>
      <c r="C409" s="4"/>
      <c r="D409" s="4"/>
      <c r="E409" s="4"/>
      <c r="F409" s="4"/>
      <c r="G409" s="4"/>
      <c r="H409" s="1" t="str">
        <f>IF(Details!$B416="","",Details!$B416)</f>
        <v/>
      </c>
      <c r="I409" s="1" t="str">
        <f>IF(H409="","",Details!$F416)</f>
        <v/>
      </c>
      <c r="J409" s="1" t="str">
        <f>IF(H409="","",Details!$E416)</f>
        <v/>
      </c>
      <c r="K409" s="1" t="str">
        <f t="shared" si="3"/>
        <v/>
      </c>
    </row>
    <row r="410" ht="13.5" customHeight="1">
      <c r="A410" s="4"/>
      <c r="B410" s="4"/>
      <c r="C410" s="4"/>
      <c r="D410" s="4"/>
      <c r="E410" s="4"/>
      <c r="F410" s="4"/>
      <c r="G410" s="4"/>
      <c r="H410" s="1" t="str">
        <f>IF(Details!$B417="","",Details!$B417)</f>
        <v/>
      </c>
      <c r="I410" s="1" t="str">
        <f>IF(H410="","",Details!$F417)</f>
        <v/>
      </c>
      <c r="J410" s="1" t="str">
        <f>IF(H410="","",Details!$E417)</f>
        <v/>
      </c>
      <c r="K410" s="1" t="str">
        <f t="shared" si="3"/>
        <v/>
      </c>
    </row>
    <row r="411" ht="13.5" customHeight="1">
      <c r="A411" s="4"/>
      <c r="B411" s="4"/>
      <c r="C411" s="4"/>
      <c r="D411" s="4"/>
      <c r="E411" s="4"/>
      <c r="F411" s="4"/>
      <c r="G411" s="4"/>
      <c r="H411" s="1" t="str">
        <f>IF(Details!$B418="","",Details!$B418)</f>
        <v/>
      </c>
      <c r="I411" s="1" t="str">
        <f>IF(H411="","",Details!$F418)</f>
        <v/>
      </c>
      <c r="J411" s="1" t="str">
        <f>IF(H411="","",Details!$E418)</f>
        <v/>
      </c>
      <c r="K411" s="1" t="str">
        <f t="shared" si="3"/>
        <v/>
      </c>
    </row>
    <row r="412" ht="13.5" customHeight="1">
      <c r="A412" s="4"/>
      <c r="B412" s="4"/>
      <c r="C412" s="4"/>
      <c r="D412" s="4"/>
      <c r="E412" s="4"/>
      <c r="F412" s="4"/>
      <c r="G412" s="4"/>
      <c r="H412" s="1" t="str">
        <f>IF(Details!$B419="","",Details!$B419)</f>
        <v/>
      </c>
      <c r="I412" s="1" t="str">
        <f>IF(H412="","",Details!$F419)</f>
        <v/>
      </c>
      <c r="J412" s="1" t="str">
        <f>IF(H412="","",Details!$E419)</f>
        <v/>
      </c>
      <c r="K412" s="1" t="str">
        <f t="shared" si="3"/>
        <v/>
      </c>
    </row>
    <row r="413" ht="13.5" customHeight="1">
      <c r="A413" s="4"/>
      <c r="B413" s="4"/>
      <c r="C413" s="4"/>
      <c r="D413" s="4"/>
      <c r="E413" s="4"/>
      <c r="F413" s="4"/>
      <c r="G413" s="4"/>
      <c r="H413" s="1" t="str">
        <f>IF(Details!$B420="","",Details!$B420)</f>
        <v/>
      </c>
      <c r="I413" s="1" t="str">
        <f>IF(H413="","",Details!$F420)</f>
        <v/>
      </c>
      <c r="J413" s="1" t="str">
        <f>IF(H413="","",Details!$E420)</f>
        <v/>
      </c>
      <c r="K413" s="1" t="str">
        <f t="shared" si="3"/>
        <v/>
      </c>
    </row>
    <row r="414" ht="13.5" customHeight="1">
      <c r="A414" s="4"/>
      <c r="B414" s="4"/>
      <c r="C414" s="4"/>
      <c r="D414" s="4"/>
      <c r="E414" s="4"/>
      <c r="F414" s="4"/>
      <c r="G414" s="4"/>
      <c r="H414" s="1" t="str">
        <f>IF(Details!$B421="","",Details!$B421)</f>
        <v/>
      </c>
      <c r="I414" s="1" t="str">
        <f>IF(H414="","",Details!$F421)</f>
        <v/>
      </c>
      <c r="J414" s="1" t="str">
        <f>IF(H414="","",Details!$E421)</f>
        <v/>
      </c>
      <c r="K414" s="1" t="str">
        <f t="shared" si="3"/>
        <v/>
      </c>
    </row>
    <row r="415" ht="13.5" customHeight="1">
      <c r="A415" s="4"/>
      <c r="B415" s="4"/>
      <c r="C415" s="4"/>
      <c r="D415" s="4"/>
      <c r="E415" s="4"/>
      <c r="F415" s="4"/>
      <c r="G415" s="4"/>
      <c r="H415" s="1" t="str">
        <f>IF(Details!$B422="","",Details!$B422)</f>
        <v/>
      </c>
      <c r="I415" s="1" t="str">
        <f>IF(H415="","",Details!$F422)</f>
        <v/>
      </c>
      <c r="J415" s="1" t="str">
        <f>IF(H415="","",Details!$E422)</f>
        <v/>
      </c>
      <c r="K415" s="1" t="str">
        <f t="shared" si="3"/>
        <v/>
      </c>
    </row>
    <row r="416" ht="13.5" customHeight="1">
      <c r="A416" s="4"/>
      <c r="B416" s="4"/>
      <c r="C416" s="4"/>
      <c r="D416" s="4"/>
      <c r="E416" s="4"/>
      <c r="F416" s="4"/>
      <c r="G416" s="4"/>
      <c r="H416" s="1" t="str">
        <f>IF(Details!$B423="","",Details!$B423)</f>
        <v/>
      </c>
      <c r="I416" s="1" t="str">
        <f>IF(H416="","",Details!$F423)</f>
        <v/>
      </c>
      <c r="J416" s="1" t="str">
        <f>IF(H416="","",Details!$E423)</f>
        <v/>
      </c>
      <c r="K416" s="1" t="str">
        <f t="shared" si="3"/>
        <v/>
      </c>
    </row>
    <row r="417" ht="13.5" customHeight="1">
      <c r="A417" s="4"/>
      <c r="B417" s="4"/>
      <c r="C417" s="4"/>
      <c r="D417" s="4"/>
      <c r="E417" s="4"/>
      <c r="F417" s="4"/>
      <c r="G417" s="4"/>
      <c r="H417" s="1" t="str">
        <f>IF(Details!$B424="","",Details!$B424)</f>
        <v/>
      </c>
      <c r="I417" s="1" t="str">
        <f>IF(H417="","",Details!$F424)</f>
        <v/>
      </c>
      <c r="J417" s="1" t="str">
        <f>IF(H417="","",Details!$E424)</f>
        <v/>
      </c>
      <c r="K417" s="1" t="str">
        <f t="shared" si="3"/>
        <v/>
      </c>
    </row>
    <row r="418" ht="13.5" customHeight="1">
      <c r="A418" s="4"/>
      <c r="B418" s="4"/>
      <c r="C418" s="4"/>
      <c r="D418" s="4"/>
      <c r="E418" s="4"/>
      <c r="F418" s="4"/>
      <c r="G418" s="4"/>
      <c r="H418" s="1" t="str">
        <f>IF(Details!$B425="","",Details!$B425)</f>
        <v/>
      </c>
      <c r="I418" s="1" t="str">
        <f>IF(H418="","",Details!$F425)</f>
        <v/>
      </c>
      <c r="J418" s="1" t="str">
        <f>IF(H418="","",Details!$E425)</f>
        <v/>
      </c>
      <c r="K418" s="1" t="str">
        <f t="shared" si="3"/>
        <v/>
      </c>
    </row>
    <row r="419" ht="13.5" customHeight="1">
      <c r="A419" s="4"/>
      <c r="B419" s="4"/>
      <c r="C419" s="4"/>
      <c r="D419" s="4"/>
      <c r="E419" s="4"/>
      <c r="F419" s="4"/>
      <c r="G419" s="4"/>
      <c r="H419" s="1" t="str">
        <f>IF(Details!$B426="","",Details!$B426)</f>
        <v/>
      </c>
      <c r="I419" s="1" t="str">
        <f>IF(H419="","",Details!$F426)</f>
        <v/>
      </c>
      <c r="J419" s="1" t="str">
        <f>IF(H419="","",Details!$E426)</f>
        <v/>
      </c>
      <c r="K419" s="1" t="str">
        <f t="shared" si="3"/>
        <v/>
      </c>
    </row>
    <row r="420" ht="13.5" customHeight="1">
      <c r="A420" s="4"/>
      <c r="B420" s="4"/>
      <c r="C420" s="4"/>
      <c r="D420" s="4"/>
      <c r="E420" s="4"/>
      <c r="F420" s="4"/>
      <c r="G420" s="4"/>
      <c r="H420" s="1" t="str">
        <f>IF(Details!$B427="","",Details!$B427)</f>
        <v/>
      </c>
      <c r="I420" s="1" t="str">
        <f>IF(H420="","",Details!$F427)</f>
        <v/>
      </c>
      <c r="J420" s="1" t="str">
        <f>IF(H420="","",Details!$E427)</f>
        <v/>
      </c>
      <c r="K420" s="1" t="str">
        <f t="shared" si="3"/>
        <v/>
      </c>
    </row>
    <row r="421" ht="13.5" customHeight="1">
      <c r="A421" s="4"/>
      <c r="B421" s="4"/>
      <c r="C421" s="4"/>
      <c r="D421" s="4"/>
      <c r="E421" s="4"/>
      <c r="F421" s="4"/>
      <c r="G421" s="4"/>
      <c r="H421" s="1" t="str">
        <f>IF(Details!$B428="","",Details!$B428)</f>
        <v/>
      </c>
      <c r="I421" s="1" t="str">
        <f>IF(H421="","",Details!$F428)</f>
        <v/>
      </c>
      <c r="J421" s="1" t="str">
        <f>IF(H421="","",Details!$E428)</f>
        <v/>
      </c>
      <c r="K421" s="1" t="str">
        <f t="shared" si="3"/>
        <v/>
      </c>
    </row>
    <row r="422" ht="13.5" customHeight="1">
      <c r="A422" s="4"/>
      <c r="B422" s="4"/>
      <c r="C422" s="4"/>
      <c r="D422" s="4"/>
      <c r="E422" s="4"/>
      <c r="F422" s="4"/>
      <c r="G422" s="4"/>
      <c r="H422" s="1" t="str">
        <f>IF(Details!$B429="","",Details!$B429)</f>
        <v/>
      </c>
      <c r="I422" s="1" t="str">
        <f>IF(H422="","",Details!$F429)</f>
        <v/>
      </c>
      <c r="J422" s="1" t="str">
        <f>IF(H422="","",Details!$E429)</f>
        <v/>
      </c>
      <c r="K422" s="1" t="str">
        <f t="shared" si="3"/>
        <v/>
      </c>
    </row>
    <row r="423" ht="13.5" customHeight="1">
      <c r="A423" s="4"/>
      <c r="B423" s="4"/>
      <c r="C423" s="4"/>
      <c r="D423" s="4"/>
      <c r="E423" s="4"/>
      <c r="F423" s="4"/>
      <c r="G423" s="4"/>
      <c r="H423" s="1" t="str">
        <f>IF(Details!$B430="","",Details!$B430)</f>
        <v/>
      </c>
      <c r="I423" s="1" t="str">
        <f>IF(H423="","",Details!$F430)</f>
        <v/>
      </c>
      <c r="J423" s="1" t="str">
        <f>IF(H423="","",Details!$E430)</f>
        <v/>
      </c>
      <c r="K423" s="1" t="str">
        <f t="shared" si="3"/>
        <v/>
      </c>
    </row>
    <row r="424" ht="13.5" customHeight="1">
      <c r="A424" s="4"/>
      <c r="B424" s="4"/>
      <c r="C424" s="4"/>
      <c r="D424" s="4"/>
      <c r="E424" s="4"/>
      <c r="F424" s="4"/>
      <c r="G424" s="4"/>
      <c r="H424" s="1" t="str">
        <f>IF(Details!$B431="","",Details!$B431)</f>
        <v/>
      </c>
      <c r="I424" s="1" t="str">
        <f>IF(H424="","",Details!$F431)</f>
        <v/>
      </c>
      <c r="J424" s="1" t="str">
        <f>IF(H424="","",Details!$E431)</f>
        <v/>
      </c>
      <c r="K424" s="1" t="str">
        <f t="shared" si="3"/>
        <v/>
      </c>
    </row>
    <row r="425" ht="13.5" customHeight="1">
      <c r="A425" s="4"/>
      <c r="B425" s="4"/>
      <c r="C425" s="4"/>
      <c r="D425" s="4"/>
      <c r="E425" s="4"/>
      <c r="F425" s="4"/>
      <c r="G425" s="4"/>
      <c r="H425" s="1" t="str">
        <f>IF(Details!$B432="","",Details!$B432)</f>
        <v/>
      </c>
      <c r="I425" s="1" t="str">
        <f>IF(H425="","",Details!$F432)</f>
        <v/>
      </c>
      <c r="J425" s="1" t="str">
        <f>IF(H425="","",Details!$E432)</f>
        <v/>
      </c>
      <c r="K425" s="1" t="str">
        <f t="shared" si="3"/>
        <v/>
      </c>
    </row>
    <row r="426" ht="13.5" customHeight="1">
      <c r="A426" s="4"/>
      <c r="B426" s="4"/>
      <c r="C426" s="4"/>
      <c r="D426" s="4"/>
      <c r="E426" s="4"/>
      <c r="F426" s="4"/>
      <c r="G426" s="4"/>
      <c r="H426" s="1" t="str">
        <f>IF(Details!$B433="","",Details!$B433)</f>
        <v/>
      </c>
      <c r="I426" s="1" t="str">
        <f>IF(H426="","",Details!$F433)</f>
        <v/>
      </c>
      <c r="J426" s="1" t="str">
        <f>IF(H426="","",Details!$E433)</f>
        <v/>
      </c>
      <c r="K426" s="1" t="str">
        <f t="shared" si="3"/>
        <v/>
      </c>
    </row>
    <row r="427" ht="13.5" customHeight="1">
      <c r="A427" s="4"/>
      <c r="B427" s="4"/>
      <c r="C427" s="4"/>
      <c r="D427" s="4"/>
      <c r="E427" s="4"/>
      <c r="F427" s="4"/>
      <c r="G427" s="4"/>
      <c r="H427" s="1" t="str">
        <f>IF(Details!$B434="","",Details!$B434)</f>
        <v/>
      </c>
      <c r="I427" s="1" t="str">
        <f>IF(H427="","",Details!$F434)</f>
        <v/>
      </c>
      <c r="J427" s="1" t="str">
        <f>IF(H427="","",Details!$E434)</f>
        <v/>
      </c>
      <c r="K427" s="1" t="str">
        <f t="shared" si="3"/>
        <v/>
      </c>
    </row>
    <row r="428" ht="13.5" customHeight="1">
      <c r="A428" s="4"/>
      <c r="B428" s="4"/>
      <c r="C428" s="4"/>
      <c r="D428" s="4"/>
      <c r="E428" s="4"/>
      <c r="F428" s="4"/>
      <c r="G428" s="4"/>
      <c r="H428" s="1" t="str">
        <f>IF(Details!$B435="","",Details!$B435)</f>
        <v/>
      </c>
      <c r="I428" s="1" t="str">
        <f>IF(H428="","",Details!$F435)</f>
        <v/>
      </c>
      <c r="J428" s="1" t="str">
        <f>IF(H428="","",Details!$E435)</f>
        <v/>
      </c>
      <c r="K428" s="1" t="str">
        <f t="shared" si="3"/>
        <v/>
      </c>
    </row>
    <row r="429" ht="13.5" customHeight="1">
      <c r="A429" s="4"/>
      <c r="B429" s="4"/>
      <c r="C429" s="4"/>
      <c r="D429" s="4"/>
      <c r="E429" s="4"/>
      <c r="F429" s="4"/>
      <c r="G429" s="4"/>
      <c r="H429" s="1" t="str">
        <f>IF(Details!$B436="","",Details!$B436)</f>
        <v/>
      </c>
      <c r="I429" s="1" t="str">
        <f>IF(H429="","",Details!$F436)</f>
        <v/>
      </c>
      <c r="J429" s="1" t="str">
        <f>IF(H429="","",Details!$E436)</f>
        <v/>
      </c>
      <c r="K429" s="1" t="str">
        <f t="shared" si="3"/>
        <v/>
      </c>
    </row>
    <row r="430" ht="13.5" customHeight="1">
      <c r="A430" s="4"/>
      <c r="B430" s="4"/>
      <c r="C430" s="4"/>
      <c r="D430" s="4"/>
      <c r="E430" s="4"/>
      <c r="F430" s="4"/>
      <c r="G430" s="4"/>
      <c r="H430" s="1" t="str">
        <f>IF(Details!$B437="","",Details!$B437)</f>
        <v/>
      </c>
      <c r="I430" s="1" t="str">
        <f>IF(H430="","",Details!$F437)</f>
        <v/>
      </c>
      <c r="J430" s="1" t="str">
        <f>IF(H430="","",Details!$E437)</f>
        <v/>
      </c>
      <c r="K430" s="1" t="str">
        <f t="shared" si="3"/>
        <v/>
      </c>
    </row>
    <row r="431" ht="13.5" customHeight="1">
      <c r="A431" s="4"/>
      <c r="B431" s="4"/>
      <c r="C431" s="4"/>
      <c r="D431" s="4"/>
      <c r="E431" s="4"/>
      <c r="F431" s="4"/>
      <c r="G431" s="4"/>
      <c r="H431" s="1" t="str">
        <f>IF(Details!$B438="","",Details!$B438)</f>
        <v/>
      </c>
      <c r="I431" s="1" t="str">
        <f>IF(H431="","",Details!$F438)</f>
        <v/>
      </c>
      <c r="J431" s="1" t="str">
        <f>IF(H431="","",Details!$E438)</f>
        <v/>
      </c>
      <c r="K431" s="1" t="str">
        <f t="shared" si="3"/>
        <v/>
      </c>
    </row>
    <row r="432" ht="13.5" customHeight="1">
      <c r="A432" s="4"/>
      <c r="B432" s="4"/>
      <c r="C432" s="4"/>
      <c r="D432" s="4"/>
      <c r="E432" s="4"/>
      <c r="F432" s="4"/>
      <c r="G432" s="4"/>
      <c r="H432" s="1" t="str">
        <f>IF(Details!$B439="","",Details!$B439)</f>
        <v/>
      </c>
      <c r="I432" s="1" t="str">
        <f>IF(H432="","",Details!$F439)</f>
        <v/>
      </c>
      <c r="J432" s="1" t="str">
        <f>IF(H432="","",Details!$E439)</f>
        <v/>
      </c>
      <c r="K432" s="1" t="str">
        <f t="shared" si="3"/>
        <v/>
      </c>
    </row>
    <row r="433" ht="13.5" customHeight="1">
      <c r="A433" s="4"/>
      <c r="B433" s="4"/>
      <c r="C433" s="4"/>
      <c r="D433" s="4"/>
      <c r="E433" s="4"/>
      <c r="F433" s="4"/>
      <c r="G433" s="4"/>
      <c r="H433" s="1" t="str">
        <f>IF(Details!$B440="","",Details!$B440)</f>
        <v/>
      </c>
      <c r="I433" s="1" t="str">
        <f>IF(H433="","",Details!$F440)</f>
        <v/>
      </c>
      <c r="J433" s="1" t="str">
        <f>IF(H433="","",Details!$E440)</f>
        <v/>
      </c>
      <c r="K433" s="1" t="str">
        <f t="shared" si="3"/>
        <v/>
      </c>
    </row>
    <row r="434" ht="13.5" customHeight="1">
      <c r="A434" s="4"/>
      <c r="B434" s="4"/>
      <c r="C434" s="4"/>
      <c r="D434" s="4"/>
      <c r="E434" s="4"/>
      <c r="F434" s="4"/>
      <c r="G434" s="4"/>
      <c r="H434" s="1" t="str">
        <f>IF(Details!$B441="","",Details!$B441)</f>
        <v/>
      </c>
      <c r="I434" s="1" t="str">
        <f>IF(H434="","",Details!$F441)</f>
        <v/>
      </c>
      <c r="J434" s="1" t="str">
        <f>IF(H434="","",Details!$E441)</f>
        <v/>
      </c>
      <c r="K434" s="1" t="str">
        <f t="shared" si="3"/>
        <v/>
      </c>
    </row>
    <row r="435" ht="13.5" customHeight="1">
      <c r="A435" s="4"/>
      <c r="B435" s="4"/>
      <c r="C435" s="4"/>
      <c r="D435" s="4"/>
      <c r="E435" s="4"/>
      <c r="F435" s="4"/>
      <c r="G435" s="4"/>
      <c r="H435" s="1" t="str">
        <f>IF(Details!$B442="","",Details!$B442)</f>
        <v/>
      </c>
      <c r="I435" s="1" t="str">
        <f>IF(H435="","",Details!$F442)</f>
        <v/>
      </c>
      <c r="J435" s="1" t="str">
        <f>IF(H435="","",Details!$E442)</f>
        <v/>
      </c>
      <c r="K435" s="1" t="str">
        <f t="shared" si="3"/>
        <v/>
      </c>
    </row>
    <row r="436" ht="13.5" customHeight="1">
      <c r="A436" s="4"/>
      <c r="B436" s="4"/>
      <c r="C436" s="4"/>
      <c r="D436" s="4"/>
      <c r="E436" s="4"/>
      <c r="F436" s="4"/>
      <c r="G436" s="4"/>
      <c r="H436" s="1" t="str">
        <f>IF(Details!$B443="","",Details!$B443)</f>
        <v/>
      </c>
      <c r="I436" s="1" t="str">
        <f>IF(H436="","",Details!$F443)</f>
        <v/>
      </c>
      <c r="J436" s="1" t="str">
        <f>IF(H436="","",Details!$E443)</f>
        <v/>
      </c>
      <c r="K436" s="1" t="str">
        <f t="shared" si="3"/>
        <v/>
      </c>
    </row>
    <row r="437" ht="13.5" customHeight="1">
      <c r="A437" s="4"/>
      <c r="B437" s="4"/>
      <c r="C437" s="4"/>
      <c r="D437" s="4"/>
      <c r="E437" s="4"/>
      <c r="F437" s="4"/>
      <c r="G437" s="4"/>
      <c r="H437" s="1" t="str">
        <f>IF(Details!$B444="","",Details!$B444)</f>
        <v/>
      </c>
      <c r="I437" s="1" t="str">
        <f>IF(H437="","",Details!$F444)</f>
        <v/>
      </c>
      <c r="J437" s="1" t="str">
        <f>IF(H437="","",Details!$E444)</f>
        <v/>
      </c>
      <c r="K437" s="1" t="str">
        <f t="shared" si="3"/>
        <v/>
      </c>
    </row>
    <row r="438" ht="13.5" customHeight="1">
      <c r="A438" s="4"/>
      <c r="B438" s="4"/>
      <c r="C438" s="4"/>
      <c r="D438" s="4"/>
      <c r="E438" s="4"/>
      <c r="F438" s="4"/>
      <c r="G438" s="4"/>
      <c r="H438" s="1" t="str">
        <f>IF(Details!$B445="","",Details!$B445)</f>
        <v/>
      </c>
      <c r="I438" s="1" t="str">
        <f>IF(H438="","",Details!$F445)</f>
        <v/>
      </c>
      <c r="J438" s="1" t="str">
        <f>IF(H438="","",Details!$E445)</f>
        <v/>
      </c>
      <c r="K438" s="1" t="str">
        <f t="shared" si="3"/>
        <v/>
      </c>
    </row>
    <row r="439" ht="13.5" customHeight="1">
      <c r="A439" s="4"/>
      <c r="B439" s="4"/>
      <c r="C439" s="4"/>
      <c r="D439" s="4"/>
      <c r="E439" s="4"/>
      <c r="F439" s="4"/>
      <c r="G439" s="4"/>
      <c r="H439" s="1" t="str">
        <f>IF(Details!$B446="","",Details!$B446)</f>
        <v/>
      </c>
      <c r="I439" s="1" t="str">
        <f>IF(H439="","",Details!$F446)</f>
        <v/>
      </c>
      <c r="J439" s="1" t="str">
        <f>IF(H439="","",Details!$E446)</f>
        <v/>
      </c>
      <c r="K439" s="1" t="str">
        <f t="shared" si="3"/>
        <v/>
      </c>
    </row>
    <row r="440" ht="13.5" customHeight="1">
      <c r="A440" s="4"/>
      <c r="B440" s="4"/>
      <c r="C440" s="4"/>
      <c r="D440" s="4"/>
      <c r="E440" s="4"/>
      <c r="F440" s="4"/>
      <c r="G440" s="4"/>
      <c r="H440" s="1" t="str">
        <f>IF(Details!$B447="","",Details!$B447)</f>
        <v/>
      </c>
      <c r="I440" s="1" t="str">
        <f>IF(H440="","",Details!$F447)</f>
        <v/>
      </c>
      <c r="J440" s="1" t="str">
        <f>IF(H440="","",Details!$E447)</f>
        <v/>
      </c>
      <c r="K440" s="1" t="str">
        <f t="shared" si="3"/>
        <v/>
      </c>
    </row>
    <row r="441" ht="13.5" customHeight="1">
      <c r="A441" s="4"/>
      <c r="B441" s="4"/>
      <c r="C441" s="4"/>
      <c r="D441" s="4"/>
      <c r="E441" s="4"/>
      <c r="F441" s="4"/>
      <c r="G441" s="4"/>
      <c r="H441" s="1" t="str">
        <f>IF(Details!$B448="","",Details!$B448)</f>
        <v/>
      </c>
      <c r="I441" s="1" t="str">
        <f>IF(H441="","",Details!$F448)</f>
        <v/>
      </c>
      <c r="J441" s="1" t="str">
        <f>IF(H441="","",Details!$E448)</f>
        <v/>
      </c>
      <c r="K441" s="1" t="str">
        <f t="shared" si="3"/>
        <v/>
      </c>
    </row>
    <row r="442" ht="13.5" customHeight="1">
      <c r="A442" s="4"/>
      <c r="B442" s="4"/>
      <c r="C442" s="4"/>
      <c r="D442" s="4"/>
      <c r="E442" s="4"/>
      <c r="F442" s="4"/>
      <c r="G442" s="4"/>
      <c r="H442" s="1" t="str">
        <f>IF(Details!$B449="","",Details!$B449)</f>
        <v/>
      </c>
      <c r="I442" s="1" t="str">
        <f>IF(H442="","",Details!$F449)</f>
        <v/>
      </c>
      <c r="J442" s="1" t="str">
        <f>IF(H442="","",Details!$E449)</f>
        <v/>
      </c>
      <c r="K442" s="1" t="str">
        <f t="shared" si="3"/>
        <v/>
      </c>
    </row>
    <row r="443" ht="13.5" customHeight="1">
      <c r="A443" s="4"/>
      <c r="B443" s="4"/>
      <c r="C443" s="4"/>
      <c r="D443" s="4"/>
      <c r="E443" s="4"/>
      <c r="F443" s="4"/>
      <c r="G443" s="4"/>
      <c r="H443" s="1" t="str">
        <f>IF(Details!$B450="","",Details!$B450)</f>
        <v/>
      </c>
      <c r="I443" s="1" t="str">
        <f>IF(H443="","",Details!$F450)</f>
        <v/>
      </c>
      <c r="J443" s="1" t="str">
        <f>IF(H443="","",Details!$E450)</f>
        <v/>
      </c>
      <c r="K443" s="1" t="str">
        <f t="shared" si="3"/>
        <v/>
      </c>
    </row>
    <row r="444" ht="13.5" customHeight="1">
      <c r="A444" s="4"/>
      <c r="B444" s="4"/>
      <c r="C444" s="4"/>
      <c r="D444" s="4"/>
      <c r="E444" s="4"/>
      <c r="F444" s="4"/>
      <c r="G444" s="4"/>
      <c r="H444" s="1" t="str">
        <f>IF(Details!$B451="","",Details!$B451)</f>
        <v/>
      </c>
      <c r="I444" s="1" t="str">
        <f>IF(H444="","",Details!$F451)</f>
        <v/>
      </c>
      <c r="J444" s="1" t="str">
        <f>IF(H444="","",Details!$E451)</f>
        <v/>
      </c>
      <c r="K444" s="1" t="str">
        <f t="shared" si="3"/>
        <v/>
      </c>
    </row>
    <row r="445" ht="13.5" customHeight="1">
      <c r="A445" s="4"/>
      <c r="B445" s="4"/>
      <c r="C445" s="4"/>
      <c r="D445" s="4"/>
      <c r="E445" s="4"/>
      <c r="F445" s="4"/>
      <c r="G445" s="4"/>
      <c r="H445" s="1" t="str">
        <f>IF(Details!$B452="","",Details!$B452)</f>
        <v/>
      </c>
      <c r="I445" s="1" t="str">
        <f>IF(H445="","",Details!$F452)</f>
        <v/>
      </c>
      <c r="J445" s="1" t="str">
        <f>IF(H445="","",Details!$E452)</f>
        <v/>
      </c>
      <c r="K445" s="1" t="str">
        <f t="shared" si="3"/>
        <v/>
      </c>
    </row>
    <row r="446" ht="13.5" customHeight="1">
      <c r="A446" s="4"/>
      <c r="B446" s="4"/>
      <c r="C446" s="4"/>
      <c r="D446" s="4"/>
      <c r="E446" s="4"/>
      <c r="F446" s="4"/>
      <c r="G446" s="4"/>
      <c r="H446" s="1" t="str">
        <f>IF(Details!$B453="","",Details!$B453)</f>
        <v/>
      </c>
      <c r="I446" s="1" t="str">
        <f>IF(H446="","",Details!$F453)</f>
        <v/>
      </c>
      <c r="J446" s="1" t="str">
        <f>IF(H446="","",Details!$E453)</f>
        <v/>
      </c>
      <c r="K446" s="1" t="str">
        <f t="shared" si="3"/>
        <v/>
      </c>
    </row>
    <row r="447" ht="13.5" customHeight="1">
      <c r="A447" s="4"/>
      <c r="B447" s="4"/>
      <c r="C447" s="4"/>
      <c r="D447" s="4"/>
      <c r="E447" s="4"/>
      <c r="F447" s="4"/>
      <c r="G447" s="4"/>
      <c r="H447" s="1" t="str">
        <f>IF(Details!$B454="","",Details!$B454)</f>
        <v/>
      </c>
      <c r="I447" s="1" t="str">
        <f>IF(H447="","",Details!$F454)</f>
        <v/>
      </c>
      <c r="J447" s="1" t="str">
        <f>IF(H447="","",Details!$E454)</f>
        <v/>
      </c>
      <c r="K447" s="1" t="str">
        <f t="shared" si="3"/>
        <v/>
      </c>
    </row>
    <row r="448" ht="13.5" customHeight="1">
      <c r="A448" s="4"/>
      <c r="B448" s="4"/>
      <c r="C448" s="4"/>
      <c r="D448" s="4"/>
      <c r="E448" s="4"/>
      <c r="F448" s="4"/>
      <c r="G448" s="4"/>
      <c r="H448" s="1" t="str">
        <f>IF(Details!$B455="","",Details!$B455)</f>
        <v/>
      </c>
      <c r="I448" s="1" t="str">
        <f>IF(H448="","",Details!$F455)</f>
        <v/>
      </c>
      <c r="J448" s="1" t="str">
        <f>IF(H448="","",Details!$E455)</f>
        <v/>
      </c>
      <c r="K448" s="1" t="str">
        <f t="shared" si="3"/>
        <v/>
      </c>
    </row>
    <row r="449" ht="13.5" customHeight="1">
      <c r="A449" s="4"/>
      <c r="B449" s="4"/>
      <c r="C449" s="4"/>
      <c r="D449" s="4"/>
      <c r="E449" s="4"/>
      <c r="F449" s="4"/>
      <c r="G449" s="4"/>
      <c r="H449" s="1" t="str">
        <f>IF(Details!$B456="","",Details!$B456)</f>
        <v/>
      </c>
      <c r="I449" s="1" t="str">
        <f>IF(H449="","",Details!$F456)</f>
        <v/>
      </c>
      <c r="J449" s="1" t="str">
        <f>IF(H449="","",Details!$E456)</f>
        <v/>
      </c>
      <c r="K449" s="1" t="str">
        <f t="shared" si="3"/>
        <v/>
      </c>
    </row>
    <row r="450" ht="13.5" customHeight="1">
      <c r="A450" s="4"/>
      <c r="B450" s="4"/>
      <c r="C450" s="4"/>
      <c r="D450" s="4"/>
      <c r="E450" s="4"/>
      <c r="F450" s="4"/>
      <c r="G450" s="4"/>
      <c r="H450" s="1" t="str">
        <f>IF(Details!$B457="","",Details!$B457)</f>
        <v/>
      </c>
      <c r="I450" s="1" t="str">
        <f>IF(H450="","",Details!$F457)</f>
        <v/>
      </c>
      <c r="J450" s="1" t="str">
        <f>IF(H450="","",Details!$E457)</f>
        <v/>
      </c>
      <c r="K450" s="1" t="str">
        <f t="shared" si="3"/>
        <v/>
      </c>
    </row>
    <row r="451" ht="13.5" customHeight="1">
      <c r="A451" s="4"/>
      <c r="B451" s="4"/>
      <c r="C451" s="4"/>
      <c r="D451" s="4"/>
      <c r="E451" s="4"/>
      <c r="F451" s="4"/>
      <c r="G451" s="4"/>
      <c r="H451" s="1" t="str">
        <f>IF(Details!$B458="","",Details!$B458)</f>
        <v/>
      </c>
      <c r="I451" s="1" t="str">
        <f>IF(H451="","",Details!$F458)</f>
        <v/>
      </c>
      <c r="J451" s="1" t="str">
        <f>IF(H451="","",Details!$E458)</f>
        <v/>
      </c>
      <c r="K451" s="1" t="str">
        <f t="shared" si="3"/>
        <v/>
      </c>
    </row>
    <row r="452" ht="13.5" customHeight="1">
      <c r="A452" s="4"/>
      <c r="B452" s="4"/>
      <c r="C452" s="4"/>
      <c r="D452" s="4"/>
      <c r="E452" s="4"/>
      <c r="F452" s="4"/>
      <c r="G452" s="4"/>
      <c r="H452" s="1" t="str">
        <f>IF(Details!$B459="","",Details!$B459)</f>
        <v/>
      </c>
      <c r="I452" s="1" t="str">
        <f>IF(H452="","",Details!$F459)</f>
        <v/>
      </c>
      <c r="J452" s="1" t="str">
        <f>IF(H452="","",Details!$E459)</f>
        <v/>
      </c>
      <c r="K452" s="1" t="str">
        <f t="shared" si="3"/>
        <v/>
      </c>
    </row>
    <row r="453" ht="13.5" customHeight="1">
      <c r="A453" s="4"/>
      <c r="B453" s="4"/>
      <c r="C453" s="4"/>
      <c r="D453" s="4"/>
      <c r="E453" s="4"/>
      <c r="F453" s="4"/>
      <c r="G453" s="4"/>
      <c r="H453" s="1" t="str">
        <f>IF(Details!$B460="","",Details!$B460)</f>
        <v/>
      </c>
      <c r="I453" s="1" t="str">
        <f>IF(H453="","",Details!$F460)</f>
        <v/>
      </c>
      <c r="J453" s="1" t="str">
        <f>IF(H453="","",Details!$E460)</f>
        <v/>
      </c>
      <c r="K453" s="1" t="str">
        <f t="shared" si="3"/>
        <v/>
      </c>
    </row>
    <row r="454" ht="13.5" customHeight="1">
      <c r="A454" s="4"/>
      <c r="B454" s="4"/>
      <c r="C454" s="4"/>
      <c r="D454" s="4"/>
      <c r="E454" s="4"/>
      <c r="F454" s="4"/>
      <c r="G454" s="4"/>
      <c r="H454" s="1" t="str">
        <f>IF(Details!$B461="","",Details!$B461)</f>
        <v/>
      </c>
      <c r="I454" s="1" t="str">
        <f>IF(H454="","",Details!$F461)</f>
        <v/>
      </c>
      <c r="J454" s="1" t="str">
        <f>IF(H454="","",Details!$E461)</f>
        <v/>
      </c>
      <c r="K454" s="1" t="str">
        <f t="shared" si="3"/>
        <v/>
      </c>
    </row>
    <row r="455" ht="13.5" customHeight="1">
      <c r="A455" s="4"/>
      <c r="B455" s="4"/>
      <c r="C455" s="4"/>
      <c r="D455" s="4"/>
      <c r="E455" s="4"/>
      <c r="F455" s="4"/>
      <c r="G455" s="4"/>
      <c r="H455" s="1" t="str">
        <f>IF(Details!$B462="","",Details!$B462)</f>
        <v/>
      </c>
      <c r="I455" s="1" t="str">
        <f>IF(H455="","",Details!$F462)</f>
        <v/>
      </c>
      <c r="J455" s="1" t="str">
        <f>IF(H455="","",Details!$E462)</f>
        <v/>
      </c>
      <c r="K455" s="1" t="str">
        <f t="shared" si="3"/>
        <v/>
      </c>
    </row>
    <row r="456" ht="13.5" customHeight="1">
      <c r="A456" s="4"/>
      <c r="B456" s="4"/>
      <c r="C456" s="4"/>
      <c r="D456" s="4"/>
      <c r="E456" s="4"/>
      <c r="F456" s="4"/>
      <c r="G456" s="4"/>
      <c r="H456" s="1" t="str">
        <f>IF(Details!$B463="","",Details!$B463)</f>
        <v/>
      </c>
      <c r="I456" s="1" t="str">
        <f>IF(H456="","",Details!$F463)</f>
        <v/>
      </c>
      <c r="J456" s="1" t="str">
        <f>IF(H456="","",Details!$E463)</f>
        <v/>
      </c>
      <c r="K456" s="1" t="str">
        <f t="shared" si="3"/>
        <v/>
      </c>
    </row>
    <row r="457" ht="13.5" customHeight="1">
      <c r="A457" s="4"/>
      <c r="B457" s="4"/>
      <c r="C457" s="4"/>
      <c r="D457" s="4"/>
      <c r="E457" s="4"/>
      <c r="F457" s="4"/>
      <c r="G457" s="4"/>
      <c r="H457" s="1" t="str">
        <f>IF(Details!$B464="","",Details!$B464)</f>
        <v/>
      </c>
      <c r="I457" s="1" t="str">
        <f>IF(H457="","",Details!$F464)</f>
        <v/>
      </c>
      <c r="J457" s="1" t="str">
        <f>IF(H457="","",Details!$E464)</f>
        <v/>
      </c>
      <c r="K457" s="1" t="str">
        <f t="shared" si="3"/>
        <v/>
      </c>
    </row>
    <row r="458" ht="13.5" customHeight="1">
      <c r="A458" s="4"/>
      <c r="B458" s="4"/>
      <c r="C458" s="4"/>
      <c r="D458" s="4"/>
      <c r="E458" s="4"/>
      <c r="F458" s="4"/>
      <c r="G458" s="4"/>
      <c r="H458" s="1" t="str">
        <f>IF(Details!$B465="","",Details!$B465)</f>
        <v/>
      </c>
      <c r="I458" s="1" t="str">
        <f>IF(H458="","",Details!$F465)</f>
        <v/>
      </c>
      <c r="J458" s="1" t="str">
        <f>IF(H458="","",Details!$E465)</f>
        <v/>
      </c>
      <c r="K458" s="1" t="str">
        <f t="shared" si="3"/>
        <v/>
      </c>
    </row>
    <row r="459" ht="13.5" customHeight="1">
      <c r="A459" s="4"/>
      <c r="B459" s="4"/>
      <c r="C459" s="4"/>
      <c r="D459" s="4"/>
      <c r="E459" s="4"/>
      <c r="F459" s="4"/>
      <c r="G459" s="4"/>
      <c r="H459" s="1" t="str">
        <f>IF(Details!$B466="","",Details!$B466)</f>
        <v/>
      </c>
      <c r="I459" s="1" t="str">
        <f>IF(H459="","",Details!$F466)</f>
        <v/>
      </c>
      <c r="J459" s="1" t="str">
        <f>IF(H459="","",Details!$E466)</f>
        <v/>
      </c>
      <c r="K459" s="1" t="str">
        <f t="shared" si="3"/>
        <v/>
      </c>
    </row>
    <row r="460" ht="13.5" customHeight="1">
      <c r="A460" s="4"/>
      <c r="B460" s="4"/>
      <c r="C460" s="4"/>
      <c r="D460" s="4"/>
      <c r="E460" s="4"/>
      <c r="F460" s="4"/>
      <c r="G460" s="4"/>
      <c r="H460" s="1" t="str">
        <f>IF(Details!$B467="","",Details!$B467)</f>
        <v/>
      </c>
      <c r="I460" s="1" t="str">
        <f>IF(H460="","",Details!$F467)</f>
        <v/>
      </c>
      <c r="J460" s="1" t="str">
        <f>IF(H460="","",Details!$E467)</f>
        <v/>
      </c>
      <c r="K460" s="1" t="str">
        <f t="shared" si="3"/>
        <v/>
      </c>
    </row>
    <row r="461" ht="13.5" customHeight="1">
      <c r="A461" s="4"/>
      <c r="B461" s="4"/>
      <c r="C461" s="4"/>
      <c r="D461" s="4"/>
      <c r="E461" s="4"/>
      <c r="F461" s="4"/>
      <c r="G461" s="4"/>
      <c r="H461" s="1" t="str">
        <f>IF(Details!$B468="","",Details!$B468)</f>
        <v/>
      </c>
      <c r="I461" s="1" t="str">
        <f>IF(H461="","",Details!$F468)</f>
        <v/>
      </c>
      <c r="J461" s="1" t="str">
        <f>IF(H461="","",Details!$E468)</f>
        <v/>
      </c>
      <c r="K461" s="1" t="str">
        <f t="shared" si="3"/>
        <v/>
      </c>
    </row>
    <row r="462" ht="13.5" customHeight="1">
      <c r="A462" s="4"/>
      <c r="B462" s="4"/>
      <c r="C462" s="4"/>
      <c r="D462" s="4"/>
      <c r="E462" s="4"/>
      <c r="F462" s="4"/>
      <c r="G462" s="4"/>
      <c r="H462" s="1" t="str">
        <f>IF(Details!$B469="","",Details!$B469)</f>
        <v/>
      </c>
      <c r="I462" s="1" t="str">
        <f>IF(H462="","",Details!$F469)</f>
        <v/>
      </c>
      <c r="J462" s="1" t="str">
        <f>IF(H462="","",Details!$E469)</f>
        <v/>
      </c>
      <c r="K462" s="1" t="str">
        <f t="shared" si="3"/>
        <v/>
      </c>
    </row>
    <row r="463" ht="13.5" customHeight="1">
      <c r="A463" s="4"/>
      <c r="B463" s="4"/>
      <c r="C463" s="4"/>
      <c r="D463" s="4"/>
      <c r="E463" s="4"/>
      <c r="F463" s="4"/>
      <c r="G463" s="4"/>
      <c r="H463" s="1" t="str">
        <f>IF(Details!$B470="","",Details!$B470)</f>
        <v/>
      </c>
      <c r="I463" s="1" t="str">
        <f>IF(H463="","",Details!$F470)</f>
        <v/>
      </c>
      <c r="J463" s="1" t="str">
        <f>IF(H463="","",Details!$E470)</f>
        <v/>
      </c>
      <c r="K463" s="1" t="str">
        <f t="shared" si="3"/>
        <v/>
      </c>
    </row>
    <row r="464" ht="13.5" customHeight="1">
      <c r="A464" s="4"/>
      <c r="B464" s="4"/>
      <c r="C464" s="4"/>
      <c r="D464" s="4"/>
      <c r="E464" s="4"/>
      <c r="F464" s="4"/>
      <c r="G464" s="4"/>
      <c r="H464" s="1" t="str">
        <f>IF(Details!$B471="","",Details!$B471)</f>
        <v/>
      </c>
      <c r="I464" s="1" t="str">
        <f>IF(H464="","",Details!$F471)</f>
        <v/>
      </c>
      <c r="J464" s="1" t="str">
        <f>IF(H464="","",Details!$E471)</f>
        <v/>
      </c>
      <c r="K464" s="1" t="str">
        <f t="shared" si="3"/>
        <v/>
      </c>
    </row>
    <row r="465" ht="13.5" customHeight="1">
      <c r="A465" s="4"/>
      <c r="B465" s="4"/>
      <c r="C465" s="4"/>
      <c r="D465" s="4"/>
      <c r="E465" s="4"/>
      <c r="F465" s="4"/>
      <c r="G465" s="4"/>
      <c r="H465" s="1" t="str">
        <f>IF(Details!$B472="","",Details!$B472)</f>
        <v/>
      </c>
      <c r="I465" s="1" t="str">
        <f>IF(H465="","",Details!$F472)</f>
        <v/>
      </c>
      <c r="J465" s="1" t="str">
        <f>IF(H465="","",Details!$E472)</f>
        <v/>
      </c>
      <c r="K465" s="1" t="str">
        <f t="shared" si="3"/>
        <v/>
      </c>
    </row>
    <row r="466" ht="13.5" customHeight="1">
      <c r="A466" s="4"/>
      <c r="B466" s="4"/>
      <c r="C466" s="4"/>
      <c r="D466" s="4"/>
      <c r="E466" s="4"/>
      <c r="F466" s="4"/>
      <c r="G466" s="4"/>
      <c r="H466" s="1" t="str">
        <f>IF(Details!$B473="","",Details!$B473)</f>
        <v/>
      </c>
      <c r="I466" s="1" t="str">
        <f>IF(H466="","",Details!$F473)</f>
        <v/>
      </c>
      <c r="J466" s="1" t="str">
        <f>IF(H466="","",Details!$E473)</f>
        <v/>
      </c>
      <c r="K466" s="1" t="str">
        <f t="shared" si="3"/>
        <v/>
      </c>
    </row>
    <row r="467" ht="13.5" customHeight="1">
      <c r="A467" s="4"/>
      <c r="B467" s="4"/>
      <c r="C467" s="4"/>
      <c r="D467" s="4"/>
      <c r="E467" s="4"/>
      <c r="F467" s="4"/>
      <c r="G467" s="4"/>
      <c r="H467" s="1" t="str">
        <f>IF(Details!$B474="","",Details!$B474)</f>
        <v/>
      </c>
      <c r="I467" s="1" t="str">
        <f>IF(H467="","",Details!$F474)</f>
        <v/>
      </c>
      <c r="J467" s="1" t="str">
        <f>IF(H467="","",Details!$E474)</f>
        <v/>
      </c>
      <c r="K467" s="1" t="str">
        <f t="shared" si="3"/>
        <v/>
      </c>
    </row>
    <row r="468" ht="13.5" customHeight="1">
      <c r="A468" s="4"/>
      <c r="B468" s="4"/>
      <c r="C468" s="4"/>
      <c r="D468" s="4"/>
      <c r="E468" s="4"/>
      <c r="F468" s="4"/>
      <c r="G468" s="4"/>
      <c r="H468" s="1" t="str">
        <f>IF(Details!$B475="","",Details!$B475)</f>
        <v/>
      </c>
      <c r="I468" s="1" t="str">
        <f>IF(H468="","",Details!$F475)</f>
        <v/>
      </c>
      <c r="J468" s="1" t="str">
        <f>IF(H468="","",Details!$E475)</f>
        <v/>
      </c>
      <c r="K468" s="1" t="str">
        <f t="shared" si="3"/>
        <v/>
      </c>
    </row>
    <row r="469" ht="13.5" customHeight="1">
      <c r="A469" s="4"/>
      <c r="B469" s="4"/>
      <c r="C469" s="4"/>
      <c r="D469" s="4"/>
      <c r="E469" s="4"/>
      <c r="F469" s="4"/>
      <c r="G469" s="4"/>
      <c r="H469" s="1" t="str">
        <f>IF(Details!$B476="","",Details!$B476)</f>
        <v/>
      </c>
      <c r="I469" s="1" t="str">
        <f>IF(H469="","",Details!$F476)</f>
        <v/>
      </c>
      <c r="J469" s="1" t="str">
        <f>IF(H469="","",Details!$E476)</f>
        <v/>
      </c>
      <c r="K469" s="1" t="str">
        <f t="shared" si="3"/>
        <v/>
      </c>
    </row>
    <row r="470" ht="13.5" customHeight="1">
      <c r="A470" s="4"/>
      <c r="B470" s="4"/>
      <c r="C470" s="4"/>
      <c r="D470" s="4"/>
      <c r="E470" s="4"/>
      <c r="F470" s="4"/>
      <c r="G470" s="4"/>
      <c r="H470" s="1" t="str">
        <f>IF(Details!$B477="","",Details!$B477)</f>
        <v/>
      </c>
      <c r="I470" s="1" t="str">
        <f>IF(H470="","",Details!$F477)</f>
        <v/>
      </c>
      <c r="J470" s="1" t="str">
        <f>IF(H470="","",Details!$E477)</f>
        <v/>
      </c>
      <c r="K470" s="1" t="str">
        <f t="shared" si="3"/>
        <v/>
      </c>
    </row>
    <row r="471" ht="13.5" customHeight="1">
      <c r="A471" s="4"/>
      <c r="B471" s="4"/>
      <c r="C471" s="4"/>
      <c r="D471" s="4"/>
      <c r="E471" s="4"/>
      <c r="F471" s="4"/>
      <c r="G471" s="4"/>
      <c r="H471" s="1" t="str">
        <f>IF(Details!$B478="","",Details!$B478)</f>
        <v/>
      </c>
      <c r="I471" s="1" t="str">
        <f>IF(H471="","",Details!$F478)</f>
        <v/>
      </c>
      <c r="J471" s="1" t="str">
        <f>IF(H471="","",Details!$E478)</f>
        <v/>
      </c>
      <c r="K471" s="1" t="str">
        <f t="shared" si="3"/>
        <v/>
      </c>
    </row>
    <row r="472" ht="13.5" customHeight="1">
      <c r="A472" s="4"/>
      <c r="B472" s="4"/>
      <c r="C472" s="4"/>
      <c r="D472" s="4"/>
      <c r="E472" s="4"/>
      <c r="F472" s="4"/>
      <c r="G472" s="4"/>
      <c r="H472" s="1" t="str">
        <f>IF(Details!$B479="","",Details!$B479)</f>
        <v/>
      </c>
      <c r="I472" s="1" t="str">
        <f>IF(H472="","",Details!$F479)</f>
        <v/>
      </c>
      <c r="J472" s="1" t="str">
        <f>IF(H472="","",Details!$E479)</f>
        <v/>
      </c>
      <c r="K472" s="1" t="str">
        <f t="shared" si="3"/>
        <v/>
      </c>
    </row>
    <row r="473" ht="13.5" customHeight="1">
      <c r="A473" s="4"/>
      <c r="B473" s="4"/>
      <c r="C473" s="4"/>
      <c r="D473" s="4"/>
      <c r="E473" s="4"/>
      <c r="F473" s="4"/>
      <c r="G473" s="4"/>
      <c r="H473" s="1" t="str">
        <f>IF(Details!$B480="","",Details!$B480)</f>
        <v/>
      </c>
      <c r="I473" s="1" t="str">
        <f>IF(H473="","",Details!$F480)</f>
        <v/>
      </c>
      <c r="J473" s="1" t="str">
        <f>IF(H473="","",Details!$E480)</f>
        <v/>
      </c>
      <c r="K473" s="1" t="str">
        <f t="shared" si="3"/>
        <v/>
      </c>
    </row>
    <row r="474" ht="13.5" customHeight="1">
      <c r="A474" s="4"/>
      <c r="B474" s="4"/>
      <c r="C474" s="4"/>
      <c r="D474" s="4"/>
      <c r="E474" s="4"/>
      <c r="F474" s="4"/>
      <c r="G474" s="4"/>
      <c r="H474" s="1" t="str">
        <f>IF(Details!$B481="","",Details!$B481)</f>
        <v/>
      </c>
      <c r="I474" s="1" t="str">
        <f>IF(H474="","",Details!$F481)</f>
        <v/>
      </c>
      <c r="J474" s="1" t="str">
        <f>IF(H474="","",Details!$E481)</f>
        <v/>
      </c>
      <c r="K474" s="1" t="str">
        <f t="shared" si="3"/>
        <v/>
      </c>
    </row>
    <row r="475" ht="13.5" customHeight="1">
      <c r="A475" s="4"/>
      <c r="B475" s="4"/>
      <c r="C475" s="4"/>
      <c r="D475" s="4"/>
      <c r="E475" s="4"/>
      <c r="F475" s="4"/>
      <c r="G475" s="4"/>
      <c r="H475" s="1" t="str">
        <f>IF(Details!$B482="","",Details!$B482)</f>
        <v/>
      </c>
      <c r="I475" s="1" t="str">
        <f>IF(H475="","",Details!$F482)</f>
        <v/>
      </c>
      <c r="J475" s="1" t="str">
        <f>IF(H475="","",Details!$E482)</f>
        <v/>
      </c>
      <c r="K475" s="1" t="str">
        <f t="shared" si="3"/>
        <v/>
      </c>
    </row>
    <row r="476" ht="13.5" customHeight="1">
      <c r="A476" s="4"/>
      <c r="B476" s="4"/>
      <c r="C476" s="4"/>
      <c r="D476" s="4"/>
      <c r="E476" s="4"/>
      <c r="F476" s="4"/>
      <c r="G476" s="4"/>
      <c r="H476" s="1" t="str">
        <f>IF(Details!$B483="","",Details!$B483)</f>
        <v/>
      </c>
      <c r="I476" s="1" t="str">
        <f>IF(H476="","",Details!$F483)</f>
        <v/>
      </c>
      <c r="J476" s="1" t="str">
        <f>IF(H476="","",Details!$E483)</f>
        <v/>
      </c>
      <c r="K476" s="1" t="str">
        <f t="shared" si="3"/>
        <v/>
      </c>
    </row>
    <row r="477" ht="13.5" customHeight="1">
      <c r="A477" s="4"/>
      <c r="B477" s="4"/>
      <c r="C477" s="4"/>
      <c r="D477" s="4"/>
      <c r="E477" s="4"/>
      <c r="F477" s="4"/>
      <c r="G477" s="4"/>
      <c r="H477" s="1" t="str">
        <f>IF(Details!$B484="","",Details!$B484)</f>
        <v/>
      </c>
      <c r="I477" s="1" t="str">
        <f>IF(H477="","",Details!$F484)</f>
        <v/>
      </c>
      <c r="J477" s="1" t="str">
        <f>IF(H477="","",Details!$E484)</f>
        <v/>
      </c>
      <c r="K477" s="1" t="str">
        <f t="shared" si="3"/>
        <v/>
      </c>
    </row>
    <row r="478" ht="13.5" customHeight="1">
      <c r="A478" s="4"/>
      <c r="B478" s="4"/>
      <c r="C478" s="4"/>
      <c r="D478" s="4"/>
      <c r="E478" s="4"/>
      <c r="F478" s="4"/>
      <c r="G478" s="4"/>
      <c r="H478" s="1" t="str">
        <f>IF(Details!$B485="","",Details!$B485)</f>
        <v/>
      </c>
      <c r="I478" s="1" t="str">
        <f>IF(H478="","",Details!$F485)</f>
        <v/>
      </c>
      <c r="J478" s="1" t="str">
        <f>IF(H478="","",Details!$E485)</f>
        <v/>
      </c>
      <c r="K478" s="1" t="str">
        <f t="shared" si="3"/>
        <v/>
      </c>
    </row>
    <row r="479" ht="13.5" customHeight="1">
      <c r="A479" s="4"/>
      <c r="B479" s="4"/>
      <c r="C479" s="4"/>
      <c r="D479" s="4"/>
      <c r="E479" s="4"/>
      <c r="F479" s="4"/>
      <c r="G479" s="4"/>
      <c r="H479" s="1" t="str">
        <f>IF(Details!$B486="","",Details!$B486)</f>
        <v/>
      </c>
      <c r="I479" s="1" t="str">
        <f>IF(H479="","",Details!$F486)</f>
        <v/>
      </c>
      <c r="J479" s="1" t="str">
        <f>IF(H479="","",Details!$E486)</f>
        <v/>
      </c>
      <c r="K479" s="1" t="str">
        <f t="shared" si="3"/>
        <v/>
      </c>
    </row>
    <row r="480" ht="13.5" customHeight="1">
      <c r="A480" s="4"/>
      <c r="B480" s="4"/>
      <c r="C480" s="4"/>
      <c r="D480" s="4"/>
      <c r="E480" s="4"/>
      <c r="F480" s="4"/>
      <c r="G480" s="4"/>
      <c r="H480" s="1" t="str">
        <f>IF(Details!$B487="","",Details!$B487)</f>
        <v/>
      </c>
      <c r="I480" s="1" t="str">
        <f>IF(H480="","",Details!$F487)</f>
        <v/>
      </c>
      <c r="J480" s="1" t="str">
        <f>IF(H480="","",Details!$E487)</f>
        <v/>
      </c>
      <c r="K480" s="1" t="str">
        <f t="shared" si="3"/>
        <v/>
      </c>
    </row>
    <row r="481" ht="13.5" customHeight="1">
      <c r="A481" s="4"/>
      <c r="B481" s="4"/>
      <c r="C481" s="4"/>
      <c r="D481" s="4"/>
      <c r="E481" s="4"/>
      <c r="F481" s="4"/>
      <c r="G481" s="4"/>
      <c r="H481" s="1" t="str">
        <f>IF(Details!$B488="","",Details!$B488)</f>
        <v/>
      </c>
      <c r="I481" s="1" t="str">
        <f>IF(H481="","",Details!$F488)</f>
        <v/>
      </c>
      <c r="J481" s="1" t="str">
        <f>IF(H481="","",Details!$E488)</f>
        <v/>
      </c>
      <c r="K481" s="1" t="str">
        <f t="shared" si="3"/>
        <v/>
      </c>
    </row>
    <row r="482" ht="13.5" customHeight="1">
      <c r="A482" s="4"/>
      <c r="B482" s="4"/>
      <c r="C482" s="4"/>
      <c r="D482" s="4"/>
      <c r="E482" s="4"/>
      <c r="F482" s="4"/>
      <c r="G482" s="4"/>
      <c r="H482" s="1" t="str">
        <f>IF(Details!$B489="","",Details!$B489)</f>
        <v/>
      </c>
      <c r="I482" s="1" t="str">
        <f>IF(H482="","",Details!$F489)</f>
        <v/>
      </c>
      <c r="J482" s="1" t="str">
        <f>IF(H482="","",Details!$E489)</f>
        <v/>
      </c>
      <c r="K482" s="1" t="str">
        <f t="shared" si="3"/>
        <v/>
      </c>
    </row>
    <row r="483" ht="13.5" customHeight="1">
      <c r="A483" s="4"/>
      <c r="B483" s="4"/>
      <c r="C483" s="4"/>
      <c r="D483" s="4"/>
      <c r="E483" s="4"/>
      <c r="F483" s="4"/>
      <c r="G483" s="4"/>
      <c r="H483" s="1" t="str">
        <f>IF(Details!$B490="","",Details!$B490)</f>
        <v/>
      </c>
      <c r="I483" s="1" t="str">
        <f>IF(H483="","",Details!$F490)</f>
        <v/>
      </c>
      <c r="J483" s="1" t="str">
        <f>IF(H483="","",Details!$E490)</f>
        <v/>
      </c>
      <c r="K483" s="1" t="str">
        <f t="shared" si="3"/>
        <v/>
      </c>
    </row>
    <row r="484" ht="13.5" customHeight="1">
      <c r="A484" s="4"/>
      <c r="B484" s="4"/>
      <c r="C484" s="4"/>
      <c r="D484" s="4"/>
      <c r="E484" s="4"/>
      <c r="F484" s="4"/>
      <c r="G484" s="4"/>
      <c r="H484" s="1" t="str">
        <f>IF(Details!$B491="","",Details!$B491)</f>
        <v/>
      </c>
      <c r="I484" s="1" t="str">
        <f>IF(H484="","",Details!$F491)</f>
        <v/>
      </c>
      <c r="J484" s="1" t="str">
        <f>IF(H484="","",Details!$E491)</f>
        <v/>
      </c>
      <c r="K484" s="1" t="str">
        <f t="shared" si="3"/>
        <v/>
      </c>
    </row>
    <row r="485" ht="13.5" customHeight="1">
      <c r="A485" s="4"/>
      <c r="B485" s="4"/>
      <c r="C485" s="4"/>
      <c r="D485" s="4"/>
      <c r="E485" s="4"/>
      <c r="F485" s="4"/>
      <c r="G485" s="4"/>
      <c r="H485" s="1" t="str">
        <f>IF(Details!$B492="","",Details!$B492)</f>
        <v/>
      </c>
      <c r="I485" s="1" t="str">
        <f>IF(H485="","",Details!$F492)</f>
        <v/>
      </c>
      <c r="J485" s="1" t="str">
        <f>IF(H485="","",Details!$E492)</f>
        <v/>
      </c>
      <c r="K485" s="1" t="str">
        <f t="shared" si="3"/>
        <v/>
      </c>
    </row>
    <row r="486" ht="13.5" customHeight="1">
      <c r="A486" s="4"/>
      <c r="B486" s="4"/>
      <c r="C486" s="4"/>
      <c r="D486" s="4"/>
      <c r="E486" s="4"/>
      <c r="F486" s="4"/>
      <c r="G486" s="4"/>
      <c r="H486" s="1" t="str">
        <f>IF(Details!$B493="","",Details!$B493)</f>
        <v/>
      </c>
      <c r="I486" s="1" t="str">
        <f>IF(H486="","",Details!$F493)</f>
        <v/>
      </c>
      <c r="J486" s="1" t="str">
        <f>IF(H486="","",Details!$E493)</f>
        <v/>
      </c>
      <c r="K486" s="1" t="str">
        <f t="shared" si="3"/>
        <v/>
      </c>
    </row>
    <row r="487" ht="13.5" customHeight="1">
      <c r="A487" s="4"/>
      <c r="B487" s="4"/>
      <c r="C487" s="4"/>
      <c r="D487" s="4"/>
      <c r="E487" s="4"/>
      <c r="F487" s="4"/>
      <c r="G487" s="4"/>
      <c r="H487" s="1" t="str">
        <f>IF(Details!$B494="","",Details!$B494)</f>
        <v/>
      </c>
      <c r="I487" s="1" t="str">
        <f>IF(H487="","",Details!$F494)</f>
        <v/>
      </c>
      <c r="J487" s="1" t="str">
        <f>IF(H487="","",Details!$E494)</f>
        <v/>
      </c>
      <c r="K487" s="1" t="str">
        <f t="shared" si="3"/>
        <v/>
      </c>
    </row>
    <row r="488" ht="13.5" customHeight="1">
      <c r="A488" s="4"/>
      <c r="B488" s="4"/>
      <c r="C488" s="4"/>
      <c r="D488" s="4"/>
      <c r="E488" s="4"/>
      <c r="F488" s="4"/>
      <c r="G488" s="4"/>
      <c r="H488" s="1" t="str">
        <f>IF(Details!$B495="","",Details!$B495)</f>
        <v/>
      </c>
      <c r="I488" s="1" t="str">
        <f>IF(H488="","",Details!$F495)</f>
        <v/>
      </c>
      <c r="J488" s="1" t="str">
        <f>IF(H488="","",Details!$E495)</f>
        <v/>
      </c>
      <c r="K488" s="1" t="str">
        <f t="shared" si="3"/>
        <v/>
      </c>
    </row>
    <row r="489" ht="13.5" customHeight="1">
      <c r="A489" s="4"/>
      <c r="B489" s="4"/>
      <c r="C489" s="4"/>
      <c r="D489" s="4"/>
      <c r="E489" s="4"/>
      <c r="F489" s="4"/>
      <c r="G489" s="4"/>
      <c r="H489" s="1" t="str">
        <f>IF(Details!$B496="","",Details!$B496)</f>
        <v/>
      </c>
      <c r="I489" s="1" t="str">
        <f>IF(H489="","",Details!$F496)</f>
        <v/>
      </c>
      <c r="J489" s="1" t="str">
        <f>IF(H489="","",Details!$E496)</f>
        <v/>
      </c>
      <c r="K489" s="1" t="str">
        <f t="shared" si="3"/>
        <v/>
      </c>
    </row>
    <row r="490" ht="13.5" customHeight="1">
      <c r="A490" s="4"/>
      <c r="B490" s="4"/>
      <c r="C490" s="4"/>
      <c r="D490" s="4"/>
      <c r="E490" s="4"/>
      <c r="F490" s="4"/>
      <c r="G490" s="4"/>
      <c r="H490" s="1" t="str">
        <f>IF(Details!$B497="","",Details!$B497)</f>
        <v/>
      </c>
      <c r="I490" s="1" t="str">
        <f>IF(H490="","",Details!$F497)</f>
        <v/>
      </c>
      <c r="J490" s="1" t="str">
        <f>IF(H490="","",Details!$E497)</f>
        <v/>
      </c>
      <c r="K490" s="1" t="str">
        <f t="shared" si="3"/>
        <v/>
      </c>
    </row>
    <row r="491" ht="13.5" customHeight="1">
      <c r="A491" s="4"/>
      <c r="B491" s="4"/>
      <c r="C491" s="4"/>
      <c r="D491" s="4"/>
      <c r="E491" s="4"/>
      <c r="F491" s="4"/>
      <c r="G491" s="4"/>
      <c r="H491" s="1" t="str">
        <f>IF(Details!$B498="","",Details!$B498)</f>
        <v/>
      </c>
      <c r="I491" s="1" t="str">
        <f>IF(H491="","",Details!$F498)</f>
        <v/>
      </c>
      <c r="J491" s="1" t="str">
        <f>IF(H491="","",Details!$E498)</f>
        <v/>
      </c>
      <c r="K491" s="1" t="str">
        <f t="shared" si="3"/>
        <v/>
      </c>
    </row>
    <row r="492" ht="13.5" customHeight="1">
      <c r="A492" s="4"/>
      <c r="B492" s="4"/>
      <c r="C492" s="4"/>
      <c r="D492" s="4"/>
      <c r="E492" s="4"/>
      <c r="F492" s="4"/>
      <c r="G492" s="4"/>
      <c r="H492" s="1" t="str">
        <f>IF(Details!$B499="","",Details!$B499)</f>
        <v/>
      </c>
      <c r="I492" s="1" t="str">
        <f>IF(H492="","",Details!$F499)</f>
        <v/>
      </c>
      <c r="J492" s="1" t="str">
        <f>IF(H492="","",Details!$E499)</f>
        <v/>
      </c>
      <c r="K492" s="1" t="str">
        <f t="shared" si="3"/>
        <v/>
      </c>
    </row>
    <row r="493" ht="13.5" customHeight="1">
      <c r="A493" s="4"/>
      <c r="B493" s="4"/>
      <c r="C493" s="4"/>
      <c r="D493" s="4"/>
      <c r="E493" s="4"/>
      <c r="F493" s="4"/>
      <c r="G493" s="4"/>
      <c r="H493" s="1" t="str">
        <f>IF(Details!$B500="","",Details!$B500)</f>
        <v/>
      </c>
      <c r="I493" s="1" t="str">
        <f>IF(H493="","",Details!$F500)</f>
        <v/>
      </c>
      <c r="J493" s="1" t="str">
        <f>IF(H493="","",Details!$E500)</f>
        <v/>
      </c>
      <c r="K493" s="1" t="str">
        <f t="shared" si="3"/>
        <v/>
      </c>
    </row>
    <row r="494" ht="13.5" customHeight="1">
      <c r="A494" s="4"/>
      <c r="B494" s="4"/>
      <c r="C494" s="4"/>
      <c r="D494" s="4"/>
      <c r="E494" s="4"/>
      <c r="F494" s="4"/>
      <c r="G494" s="4"/>
      <c r="H494" s="1" t="str">
        <f>IF(Details!$B501="","",Details!$B501)</f>
        <v/>
      </c>
      <c r="I494" s="1" t="str">
        <f>IF(H494="","",Details!$F501)</f>
        <v/>
      </c>
      <c r="J494" s="1" t="str">
        <f>IF(H494="","",Details!$E501)</f>
        <v/>
      </c>
      <c r="K494" s="1" t="str">
        <f t="shared" si="3"/>
        <v/>
      </c>
    </row>
    <row r="495" ht="13.5" customHeight="1">
      <c r="A495" s="4"/>
      <c r="B495" s="4"/>
      <c r="C495" s="4"/>
      <c r="D495" s="4"/>
      <c r="E495" s="4"/>
      <c r="F495" s="4"/>
      <c r="G495" s="4"/>
      <c r="H495" s="1" t="str">
        <f>IF(Details!$B502="","",Details!$B502)</f>
        <v/>
      </c>
      <c r="I495" s="1" t="str">
        <f>IF(H495="","",Details!$F502)</f>
        <v/>
      </c>
      <c r="J495" s="1" t="str">
        <f>IF(H495="","",Details!$E502)</f>
        <v/>
      </c>
      <c r="K495" s="1" t="str">
        <f t="shared" si="3"/>
        <v/>
      </c>
    </row>
    <row r="496" ht="13.5" customHeight="1">
      <c r="A496" s="4"/>
      <c r="B496" s="4"/>
      <c r="C496" s="4"/>
      <c r="D496" s="4"/>
      <c r="E496" s="4"/>
      <c r="F496" s="4"/>
      <c r="G496" s="4"/>
      <c r="H496" s="1" t="str">
        <f>IF(Details!$B503="","",Details!$B503)</f>
        <v/>
      </c>
      <c r="I496" s="1" t="str">
        <f>IF(H496="","",Details!$F503)</f>
        <v/>
      </c>
      <c r="J496" s="1" t="str">
        <f>IF(H496="","",Details!$E503)</f>
        <v/>
      </c>
      <c r="K496" s="1" t="str">
        <f t="shared" si="3"/>
        <v/>
      </c>
    </row>
    <row r="497" ht="13.5" customHeight="1">
      <c r="A497" s="4"/>
      <c r="B497" s="4"/>
      <c r="C497" s="4"/>
      <c r="D497" s="4"/>
      <c r="E497" s="4"/>
      <c r="F497" s="4"/>
      <c r="G497" s="4"/>
      <c r="H497" s="1" t="str">
        <f>IF(Details!$B504="","",Details!$B504)</f>
        <v/>
      </c>
      <c r="I497" s="1" t="str">
        <f>IF(H497="","",Details!$F504)</f>
        <v/>
      </c>
      <c r="J497" s="1" t="str">
        <f>IF(H497="","",Details!$E504)</f>
        <v/>
      </c>
      <c r="K497" s="1" t="str">
        <f t="shared" si="3"/>
        <v/>
      </c>
    </row>
    <row r="498" ht="13.5" customHeight="1">
      <c r="A498" s="4"/>
      <c r="B498" s="4"/>
      <c r="C498" s="4"/>
      <c r="D498" s="4"/>
      <c r="E498" s="4"/>
      <c r="F498" s="4"/>
      <c r="G498" s="4"/>
      <c r="H498" s="1" t="str">
        <f>IF(Details!$B505="","",Details!$B505)</f>
        <v/>
      </c>
      <c r="I498" s="1" t="str">
        <f>IF(H498="","",Details!$F505)</f>
        <v/>
      </c>
      <c r="J498" s="1" t="str">
        <f>IF(H498="","",Details!$E505)</f>
        <v/>
      </c>
      <c r="K498" s="1" t="str">
        <f t="shared" si="3"/>
        <v/>
      </c>
    </row>
    <row r="499" ht="13.5" customHeight="1">
      <c r="A499" s="4"/>
      <c r="B499" s="4"/>
      <c r="C499" s="4"/>
      <c r="D499" s="4"/>
      <c r="E499" s="4"/>
      <c r="F499" s="4"/>
      <c r="G499" s="4"/>
      <c r="H499" s="1" t="str">
        <f>IF(Details!$B506="","",Details!$B506)</f>
        <v/>
      </c>
      <c r="I499" s="1" t="str">
        <f>IF(H499="","",Details!$F506)</f>
        <v/>
      </c>
      <c r="J499" s="1" t="str">
        <f>IF(H499="","",Details!$E506)</f>
        <v/>
      </c>
      <c r="K499" s="1" t="str">
        <f t="shared" si="3"/>
        <v/>
      </c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</sheetData>
  <dataValidations>
    <dataValidation type="custom" allowBlank="1" showDropDown="1" sqref="F2:F7 B2:B18 I2:K44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1.71"/>
    <col customWidth="1" min="3" max="3" width="13.29"/>
    <col customWidth="1" min="4" max="4" width="15.0"/>
    <col customWidth="1" min="5" max="26" width="9.0"/>
  </cols>
  <sheetData>
    <row r="1" ht="13.5" customHeight="1">
      <c r="A1" s="7" t="s">
        <v>2</v>
      </c>
      <c r="B1" s="7" t="s">
        <v>126</v>
      </c>
      <c r="C1" s="7" t="s">
        <v>9</v>
      </c>
      <c r="D1" s="7" t="s">
        <v>127</v>
      </c>
    </row>
    <row r="2" ht="13.5" customHeight="1">
      <c r="A2" s="10" t="s">
        <v>16</v>
      </c>
      <c r="B2" s="8" t="s">
        <v>18</v>
      </c>
      <c r="C2" s="8" t="s">
        <v>128</v>
      </c>
      <c r="D2" s="8" t="s">
        <v>20</v>
      </c>
    </row>
    <row r="3" ht="13.5" customHeight="1">
      <c r="A3" s="8" t="s">
        <v>129</v>
      </c>
      <c r="B3" s="8" t="s">
        <v>64</v>
      </c>
      <c r="C3" s="8" t="s">
        <v>130</v>
      </c>
      <c r="D3" s="8" t="s">
        <v>24</v>
      </c>
    </row>
    <row r="4" ht="13.5" customHeight="1">
      <c r="A4" s="8" t="s">
        <v>57</v>
      </c>
      <c r="B4" s="8" t="s">
        <v>32</v>
      </c>
      <c r="C4" s="8" t="s">
        <v>19</v>
      </c>
      <c r="D4" s="8" t="s">
        <v>131</v>
      </c>
    </row>
    <row r="5" ht="13.5" customHeight="1">
      <c r="A5" s="8" t="s">
        <v>66</v>
      </c>
      <c r="B5" s="8" t="s">
        <v>132</v>
      </c>
      <c r="C5" s="8" t="s">
        <v>133</v>
      </c>
      <c r="D5" s="10" t="s">
        <v>33</v>
      </c>
    </row>
    <row r="6" ht="13.5" customHeight="1">
      <c r="A6" s="8" t="s">
        <v>134</v>
      </c>
      <c r="D6" s="10" t="s">
        <v>35</v>
      </c>
    </row>
    <row r="7" ht="13.5" customHeight="1">
      <c r="A7" s="8" t="s">
        <v>135</v>
      </c>
      <c r="D7" s="10" t="s">
        <v>39</v>
      </c>
    </row>
    <row r="8" ht="13.5" customHeight="1">
      <c r="A8" s="8" t="s">
        <v>60</v>
      </c>
    </row>
    <row r="9" ht="13.5" customHeight="1">
      <c r="A9" s="8" t="s">
        <v>136</v>
      </c>
    </row>
    <row r="10" ht="13.5" customHeight="1">
      <c r="A10" s="8" t="s">
        <v>137</v>
      </c>
    </row>
    <row r="11" ht="13.5" customHeight="1">
      <c r="A11" s="8" t="s">
        <v>138</v>
      </c>
    </row>
    <row r="12" ht="13.5" customHeight="1">
      <c r="A12" s="8" t="s">
        <v>139</v>
      </c>
    </row>
    <row r="13" ht="13.5" customHeight="1">
      <c r="A13" s="8" t="s">
        <v>140</v>
      </c>
    </row>
    <row r="14" ht="13.5" customHeight="1">
      <c r="A14" s="10" t="s">
        <v>22</v>
      </c>
    </row>
    <row r="15" ht="13.5" customHeight="1">
      <c r="A15" s="10" t="s">
        <v>30</v>
      </c>
    </row>
    <row r="16" ht="13.5" customHeight="1">
      <c r="A16" s="10" t="s">
        <v>25</v>
      </c>
    </row>
    <row r="17" ht="13.5" customHeight="1">
      <c r="A17" s="10" t="s">
        <v>125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